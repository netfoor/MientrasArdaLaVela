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s del Proyecto" sheetId="1" r:id="rId5"/>
    <sheet state="visible" name="Sprint Plan" sheetId="2" r:id="rId6"/>
    <sheet state="visible" name="Project Chart" sheetId="3" r:id="rId7"/>
    <sheet state="visible" name="Feature Log" sheetId="4" r:id="rId8"/>
    <sheet state="visible" name="Historias de Usuario" sheetId="5" r:id="rId9"/>
    <sheet state="visible" name="Sprint 1 Backlog" sheetId="6" r:id="rId10"/>
    <sheet state="visible" name="Task Chart - Sprint 1" sheetId="7" r:id="rId11"/>
    <sheet state="visible" name="Burn-down Chart - Sprint 1" sheetId="8" r:id="rId12"/>
    <sheet state="visible" name="Sprint 2 Backlog" sheetId="9" r:id="rId13"/>
    <sheet state="visible" name="Task Chart - Sprint 2" sheetId="10" r:id="rId14"/>
    <sheet state="visible" name="Burn-down Chart - Sprint 2" sheetId="11" r:id="rId15"/>
    <sheet state="visible" name="Sprint 3 Backlog" sheetId="12" r:id="rId16"/>
    <sheet state="visible" name="Task Chart - Sprint 3" sheetId="13" r:id="rId17"/>
    <sheet state="visible" name="Burn-down Chart - Sprint 3" sheetId="14" r:id="rId18"/>
    <sheet state="visible" name="Buglist" sheetId="15" r:id="rId19"/>
    <sheet state="visible" name="Task Slips - Sprint 1" sheetId="16" r:id="rId20"/>
  </sheets>
  <definedNames/>
  <calcPr/>
</workbook>
</file>

<file path=xl/sharedStrings.xml><?xml version="1.0" encoding="utf-8"?>
<sst xmlns="http://schemas.openxmlformats.org/spreadsheetml/2006/main" count="890" uniqueCount="345">
  <si>
    <t>SPRINT PLAN</t>
  </si>
  <si>
    <t>FEATURE LOG</t>
  </si>
  <si>
    <t>DETALLES DEL PROYECTO</t>
  </si>
  <si>
    <t>Tres sprints de 21 días alineados con las entregas oficiales. Fin y % se calculan con fórmula.</t>
  </si>
  <si>
    <t xml:space="preserve">Huddle — Documentos de Producción. </t>
  </si>
  <si>
    <t>SprintID</t>
  </si>
  <si>
    <t>Título</t>
  </si>
  <si>
    <t>Estados válidos: Planeado, Sin planear, En desarrollo, Terminado, Feature Creep, Eliminado.</t>
  </si>
  <si>
    <t>FeatureID</t>
  </si>
  <si>
    <t>Inicio</t>
  </si>
  <si>
    <t>Días</t>
  </si>
  <si>
    <t>Nombre</t>
  </si>
  <si>
    <t>Epic</t>
  </si>
  <si>
    <t>Fin</t>
  </si>
  <si>
    <t>Mientras arda la vela</t>
  </si>
  <si>
    <t>Estado</t>
  </si>
  <si>
    <t>Meta</t>
  </si>
  <si>
    <t>Estudio/Diseñadores</t>
  </si>
  <si>
    <t>%</t>
  </si>
  <si>
    <t>Fortino Romero Mantilla (desarrollador independiente)</t>
  </si>
  <si>
    <t>Entrega asociada</t>
  </si>
  <si>
    <t>Género</t>
  </si>
  <si>
    <t>Aventura conversacional y narrativa 2D</t>
  </si>
  <si>
    <t>Clasificación</t>
  </si>
  <si>
    <t>B (+12 años) / ESRB Everyone 10+</t>
  </si>
  <si>
    <t>Comentarios</t>
  </si>
  <si>
    <t>Plataforma</t>
  </si>
  <si>
    <t>PC (Windows 10/11) — Unity 6 LTS</t>
  </si>
  <si>
    <t>Fecha de inicio</t>
  </si>
  <si>
    <t>F01</t>
  </si>
  <si>
    <t>Configuración del proyecto y recursos abiertos</t>
  </si>
  <si>
    <t>E6</t>
  </si>
  <si>
    <t>Fecha de término</t>
  </si>
  <si>
    <t>ESTADO DE LOS SPRINTS (% del proyecto)</t>
  </si>
  <si>
    <t>% de metas del Sprint Plan</t>
  </si>
  <si>
    <t>Planeado</t>
  </si>
  <si>
    <t>Unity 6 LTS 2D (URP), repositorio Git, importación de recursos CC0/CC-BY-SA y registro de licencias.</t>
  </si>
  <si>
    <t>F02</t>
  </si>
  <si>
    <t>Movimiento de Ámbar (vista cenital)</t>
  </si>
  <si>
    <t>E1</t>
  </si>
  <si>
    <t>Cuatro direcciones con animaciones de caminata; colisiones con Tilemap.</t>
  </si>
  <si>
    <t>F03</t>
  </si>
  <si>
    <t>Cámara pixel perfect con seguimiento</t>
  </si>
  <si>
    <t>Pixel Perfect Camera 640x360 y Cinemachine confinada a los límites del mapa.</t>
  </si>
  <si>
    <t>F04</t>
  </si>
  <si>
    <t>Sistema de interacción</t>
  </si>
  <si>
    <t>Detección de objetos y NPC cercanos con aviso [E] Examinar.</t>
  </si>
  <si>
    <t>F05</t>
  </si>
  <si>
    <t>Sistema de diálogos (Yarn Spinner)</t>
  </si>
  <si>
    <t>Caja de diálogo con retrato, nombre, efecto máquina de escribir y opciones.</t>
  </si>
  <si>
    <t>En desarrollo</t>
  </si>
  <si>
    <t>F06</t>
  </si>
  <si>
    <t>Mapa 0: La ofrenda (prólogo y tutorial)</t>
  </si>
  <si>
    <t>E3</t>
  </si>
  <si>
    <t>Sala, cocina y patio; tutorial de controles y primer memento.</t>
  </si>
  <si>
    <t>F07</t>
  </si>
  <si>
    <t>Núcleo jugable: Ámbar recorre la ofrenda (tutorial), dialoga, reúne fragmentos, disipa el Olvido y el progreso se guarda.</t>
  </si>
  <si>
    <t>Fragmentos de memoria</t>
  </si>
  <si>
    <t>Sin planear</t>
  </si>
  <si>
    <t>E2</t>
  </si>
  <si>
    <t>Recolección, contador 0/4 y registro en el diario.</t>
  </si>
  <si>
    <t>F08</t>
  </si>
  <si>
    <t>Terminado</t>
  </si>
  <si>
    <t>Niebla del Olvido y Ecos</t>
  </si>
  <si>
    <t>Zonas bloqueadas que se disipan con fragmentos; Ecos que se desmienten.</t>
  </si>
  <si>
    <t>Total</t>
  </si>
  <si>
    <t>F09</t>
  </si>
  <si>
    <t>Pantalla de título y menú principal</t>
  </si>
  <si>
    <t>E4</t>
  </si>
  <si>
    <t>Nueva partida, Continuar, Opciones, Créditos y Salir.</t>
  </si>
  <si>
    <t>F10</t>
  </si>
  <si>
    <t>Guardado y carga automáticos</t>
  </si>
  <si>
    <t>Base para Producto 2</t>
  </si>
  <si>
    <t>ESTADO DE LOS FEATURES</t>
  </si>
  <si>
    <t>JSON en Application.persistentDataPath; autoguardado por evento.</t>
  </si>
  <si>
    <t>F11</t>
  </si>
  <si>
    <t>Número de features</t>
  </si>
  <si>
    <t>Tizne: compañero y pistas (Olfatear)</t>
  </si>
  <si>
    <t>Seguimiento del jugador y pista con H; espera de 20 s.</t>
  </si>
  <si>
    <t>Sistemas de memoria completos (Tizne, puzle de mosaico, mementos, vela) y Recuerdos 1 y 2 jugables con HUD, diario, pausa y opciones.</t>
  </si>
  <si>
    <t>F12</t>
  </si>
  <si>
    <t>Puzle de mosaico (rotación de piezas)</t>
  </si>
  <si>
    <t>Producto 2 (30/10/2026)</t>
  </si>
  <si>
    <t>Cuadrícula 4x4, rotación, validación, reinicio y pista.</t>
  </si>
  <si>
    <t>F13</t>
  </si>
  <si>
    <t>Mementos y transición entre recuerdos</t>
  </si>
  <si>
    <t>Activación del puzle con 4 fragmentos y transición visual.</t>
  </si>
  <si>
    <t>Recuerdos 3 y 4, epílogo, música y efectos, logros, códigos secretos, pulido y build para Windows.</t>
  </si>
  <si>
    <t>F14</t>
  </si>
  <si>
    <t>Recuerdo 1: La panadería cerrada (2015)</t>
  </si>
  <si>
    <t>Producto 3 (20/11/2026)</t>
  </si>
  <si>
    <t>Reutiliza el tileset de la panadería; 4 fragmentos y 1 Eco.</t>
  </si>
  <si>
    <t>F15</t>
  </si>
  <si>
    <t>Recuerdo 2: La silla vacía (1988)</t>
  </si>
  <si>
    <t>Patio de la boda; 4 fragmentos y 2 Ecos.</t>
  </si>
  <si>
    <t>F16</t>
  </si>
  <si>
    <t>HUD y Diario de recuerdos</t>
  </si>
  <si>
    <t>Feature Creep</t>
  </si>
  <si>
    <t>Nombre del recuerdo, vela, fragmentos, pétalos; diario con Tab.</t>
  </si>
  <si>
    <t>F17</t>
  </si>
  <si>
    <t>Eliminado</t>
  </si>
  <si>
    <t>Menú de pausa y Opciones</t>
  </si>
  <si>
    <t>Volumen, velocidad de texto, pantalla completa, controles.</t>
  </si>
  <si>
    <t>F18</t>
  </si>
  <si>
    <t>Vela: indicador narrativo de progreso</t>
  </si>
  <si>
    <t>Días de features planeados por sprint (desde el Feature Log)</t>
  </si>
  <si>
    <t>Se consume 25 % por recuerdo completado.</t>
  </si>
  <si>
    <t>Días de features</t>
  </si>
  <si>
    <t>F19</t>
  </si>
  <si>
    <t>Días del sprint</t>
  </si>
  <si>
    <t>Recuerdo 3: La noche del horno (1966)</t>
  </si>
  <si>
    <t>Holgura (días)</t>
  </si>
  <si>
    <t>FASES DEL PROCESO HUDDLE</t>
  </si>
  <si>
    <t>Fase</t>
  </si>
  <si>
    <t>Periodo</t>
  </si>
  <si>
    <t>Preproducción (Documento de Diseño, Feature Log, Sprint Plan)</t>
  </si>
  <si>
    <t>Olvido denso, 3 Ecos, iluminación 2D del fuego; revelación.</t>
  </si>
  <si>
    <t>01/09/2026 – 18/09/2026</t>
  </si>
  <si>
    <t>F20</t>
  </si>
  <si>
    <t>Producción (Sprints 1 a 3)</t>
  </si>
  <si>
    <t>Recuerdo 4: El campo de cempasúchil (1955)</t>
  </si>
  <si>
    <t>19/09/2026 – 20/11/2026</t>
  </si>
  <si>
    <t>Pruebas Beta y Gold Master</t>
  </si>
  <si>
    <t>21/11/2026 – 27/11/2026</t>
  </si>
  <si>
    <t>Postmortem (End-game Huddle y reporte)</t>
  </si>
  <si>
    <t>Campo al atardecer; sin Ecos; mosaico final.</t>
  </si>
  <si>
    <t>28/11/2026 – 30/11/2026</t>
  </si>
  <si>
    <t>F21</t>
  </si>
  <si>
    <t>Epílogo y créditos</t>
  </si>
  <si>
    <t>Segunda vela, reencuentro y créditos con atribuciones.</t>
  </si>
  <si>
    <t>F22</t>
  </si>
  <si>
    <t>Música y efectos de sonido</t>
  </si>
  <si>
    <t>E5</t>
  </si>
  <si>
    <t>M01 a M08 y S01 a S14; mezcla de volúmenes.</t>
  </si>
  <si>
    <t>F23</t>
  </si>
  <si>
    <t>Logros y códigos secretos</t>
  </si>
  <si>
    <t>9 logros y 3 códigos en el menú principal.</t>
  </si>
  <si>
    <t>F24</t>
  </si>
  <si>
    <t>Pétalos coleccionables</t>
  </si>
  <si>
    <t>5 por mapa, 25 en total.</t>
  </si>
  <si>
    <t>F25</t>
  </si>
  <si>
    <t>Pulido y corrección de errores</t>
  </si>
  <si>
    <t>Atención del Buglist, ajuste de ritmo y textos.</t>
  </si>
  <si>
    <t>F26</t>
  </si>
  <si>
    <t>Build para Windows</t>
  </si>
  <si>
    <t>Compilación y prueba en un segundo equipo.</t>
  </si>
  <si>
    <t>Total días</t>
  </si>
  <si>
    <t>Nota: al término del Sprint 3 siguen las pruebas Beta (21 al 27 de noviembre) y el Postmortem (28 al 30 de noviembre de 2026).</t>
  </si>
  <si>
    <t>EPICS E HISTORIAS DE USUARIO</t>
  </si>
  <si>
    <t>Jerarquía: Epic (objetivo amplio) &gt; Feature (funcionalidad que aporta valor) &gt; Historia de usuario (unidad de trabajo del sprint) &gt; Tarea (actividad técnica).</t>
  </si>
  <si>
    <t>Descripción</t>
  </si>
  <si>
    <t>Núcleo jugable</t>
  </si>
  <si>
    <t>Movimiento, cámara, interacción, diálogos y compañero Tizne.</t>
  </si>
  <si>
    <t>Sistema de memorias</t>
  </si>
  <si>
    <t>Fragmentos, Olvido, mementos, puzle de mosaico y vela de progreso.</t>
  </si>
  <si>
    <t>Contenido narrativo</t>
  </si>
  <si>
    <t>Mapas 0 a 4, guion, personajes y epílogo.</t>
  </si>
  <si>
    <t>Interfaz y flujo</t>
  </si>
  <si>
    <t>Menús, HUD, diario, pausa, opciones y guardado.</t>
  </si>
  <si>
    <t>Audio y extras</t>
  </si>
  <si>
    <t>Música, efectos de sonido, logros, códigos secretos y pétalos.</t>
  </si>
  <si>
    <t>Calidad y entrega</t>
  </si>
  <si>
    <t>Configuración del proyecto, pulido, corrección de errores y build.</t>
  </si>
  <si>
    <t>HU-ID</t>
  </si>
  <si>
    <t>Historia de usuario</t>
  </si>
  <si>
    <t>Criterios de aceptación</t>
  </si>
  <si>
    <t>PROJECT CHART</t>
  </si>
  <si>
    <t>HU01</t>
  </si>
  <si>
    <t>Avance total del proyecto según los sprints planeados, en desarrollo, sin planear y terminados.</t>
  </si>
  <si>
    <t>Como desarrollador, quiero un proyecto de Unity configurado con los recursos importados para comenzar la producción sin bloqueos.</t>
  </si>
  <si>
    <t>El proyecto abre sin errores; los recursos están en Assets/; CREDITOS.txt lista cada licencia.</t>
  </si>
  <si>
    <t>HU02</t>
  </si>
  <si>
    <t>Como jugador, quiero mover a Ámbar con teclado o gamepad para explorar los recuerdos.</t>
  </si>
  <si>
    <t>Movimiento en 4 direcciones con animación; no atraviesa paredes ni muebles.</t>
  </si>
  <si>
    <t>HU03</t>
  </si>
  <si>
    <t>Como jugador, quiero que la cámara siga a Ámbar sin deformar el pixel art para ver el escenario con claridad.</t>
  </si>
  <si>
    <t>La imagen se ve nítida a 1920x1080; la cámara no muestra fuera del mapa.</t>
  </si>
  <si>
    <t>HU04</t>
  </si>
  <si>
    <t>Como jugador, quiero examinar objetos y hablar con personajes para descubrir la historia.</t>
  </si>
  <si>
    <t>Aparece el aviso al acercarse; E, Espacio o clic ejecutan la interacción.</t>
  </si>
  <si>
    <t>HU05</t>
  </si>
  <si>
    <t>Como jugador, quiero leer los diálogos con retrato y nombre para seguir la conversación.</t>
  </si>
  <si>
    <t>Los diálogos se cargan desde archivos .yarn; el texto se puede adelantar.</t>
  </si>
  <si>
    <t>HU06</t>
  </si>
  <si>
    <t>Como jugador nuevo, quiero un prólogo que me enseñe los controles para entender cómo se juega.</t>
  </si>
  <si>
    <t>El tutorial explica mover, examinar, Luz de vela y fragmentos; termina en el primer memento.</t>
  </si>
  <si>
    <t>HU07</t>
  </si>
  <si>
    <t>Como jugador, quiero reunir fragmentos de memoria para avanzar en la historia.</t>
  </si>
  <si>
    <t>Cada fragmento suma al contador, reproduce S03 y queda guardado.</t>
  </si>
  <si>
    <t>HU08</t>
  </si>
  <si>
    <t>Como jugador, quiero que la niebla se disipe cuando encuentro la verdad para sentir que avanzo en la memoria de Aurelio.</t>
  </si>
  <si>
    <t>Cada zona se asocia a un fragmento; al obtenerlo la niebla se desvanece y el paso se abre.</t>
  </si>
  <si>
    <t>HU09</t>
  </si>
  <si>
    <t>Como jugador, quiero un menú principal para iniciar o continuar mi partida.</t>
  </si>
  <si>
    <t>Todas las opciones navegan al estado correcto; Continuar se deshabilita sin partida.</t>
  </si>
  <si>
    <t>HU10</t>
  </si>
  <si>
    <t>Como jugador, quiero que mi progreso se guarde solo para no perderlo al salir.</t>
  </si>
  <si>
    <t>Al reabrir el juego, Continuar restaura mapa, fragmentos y pétalos.</t>
  </si>
  <si>
    <t>HU11</t>
  </si>
  <si>
    <t>Como jugador, quiero pedirle pistas a Tizne para no quedarme atorado.</t>
  </si>
  <si>
    <t>Tizne sigue a Ámbar; con H corre hacia el fragmento más cercano y ladra.</t>
  </si>
  <si>
    <t>HU12</t>
  </si>
  <si>
    <t>Como jugador, quiero reconstruir el recuerdo girando piezas para pasar al recuerdo anterior.</t>
  </si>
  <si>
    <t>El puzle detecta la solución; muestra piezas correctas y rotaciones; R reinicia.</t>
  </si>
  <si>
    <t>HU13</t>
  </si>
  <si>
    <t>Como jugador, quiero una transición clara entre recuerdos para entender el salto en el tiempo.</t>
  </si>
  <si>
    <t>Con 4 fragmentos el memento brilla; tras el puzle se muestra el año del siguiente recuerdo.</t>
  </si>
  <si>
    <t>HU14</t>
  </si>
  <si>
    <t>Como jugador, quiero explorar la panadería en 2015 para descubrir que Aurelio tenía un hermano.</t>
  </si>
  <si>
    <t>Mapa completo con 4 fragmentos, 1 Eco, 5 pétalos y diálogos del guion.</t>
  </si>
  <si>
    <t>HU15</t>
  </si>
  <si>
    <t>Como jugador, quiero vivir la boda de 1988 para entender el rechazo de Aurelio a Refugio.</t>
  </si>
  <si>
    <t>Mapa completo con 4 fragmentos, 2 Ecos, 5 pétalos y diálogos del guion.</t>
  </si>
  <si>
    <t>HU16</t>
  </si>
  <si>
    <t>Como jugador, quiero consultar mis avances para recordar lo descubierto.</t>
  </si>
  <si>
    <t>El HUD se actualiza en tiempo real; el diario lista recuerdos, fragmentos y notas.</t>
  </si>
  <si>
    <t>HU17</t>
  </si>
  <si>
    <t>Como jugador, quiero pausar y ajustar opciones para jugar con comodidad.</t>
  </si>
  <si>
    <t>Esc pausa; los cambios de opciones se guardan y aplican.</t>
  </si>
  <si>
    <t>HU18</t>
  </si>
  <si>
    <t>Como jugador, quiero ver cómo se consume la vela para sentir la urgencia de la historia.</t>
  </si>
  <si>
    <t>La vela del HUD baja un nivel al completar cada recuerdo.</t>
  </si>
  <si>
    <t>HU19</t>
  </si>
  <si>
    <t>Como jugador, quiero descubrir qué pasó la noche del incendio para conocer la verdad.</t>
  </si>
  <si>
    <t>Mapa completo con 4 fragmentos, 3 Ecos, 5 pétalos y escena de revelación.</t>
  </si>
  <si>
    <t>HU20</t>
  </si>
  <si>
    <t>Como jugador, quiero ver la promesa de los hermanos para comprender el vínculo que se perdió.</t>
  </si>
  <si>
    <t>Mapa completo con 4 fragmentos, 5 pétalos y mosaico final.</t>
  </si>
  <si>
    <t>HU21</t>
  </si>
  <si>
    <t>Como jugador, quiero un final que cierre la historia para sentir que valió la pena.</t>
  </si>
  <si>
    <t>Escena guiada del reencuentro; créditos con autor y licencias.</t>
  </si>
  <si>
    <t>HU22</t>
  </si>
  <si>
    <t>Como jugador, quiero música y sonidos acordes a cada recuerdo para sumergirme en la historia.</t>
  </si>
  <si>
    <t>Cada mapa reproduce su tema; los efectos responden a las acciones.</t>
  </si>
  <si>
    <t>HU23</t>
  </si>
  <si>
    <t>Como jugador, quiero desbloquear logros y secretos para tener motivos de volver a jugar.</t>
  </si>
  <si>
    <t>Los logros se guardan; los códigos activan su efecto.</t>
  </si>
  <si>
    <t>HU24</t>
  </si>
  <si>
    <t>Como jugador, quiero encontrar pétalos ocultos para explorar cada rincón.</t>
  </si>
  <si>
    <t>El contador de pétalos se actualiza y se guarda.</t>
  </si>
  <si>
    <t>HU25</t>
  </si>
  <si>
    <t>Como jugador, quiero un juego sin errores para disfrutar la historia sin interrupciones.</t>
  </si>
  <si>
    <t>Buglist sin errores abiertos de severidad alta o media.</t>
  </si>
  <si>
    <t>HU26</t>
  </si>
  <si>
    <t>Como jugador, quiero instalar y abrir el juego en mi computadora para jugarlo.</t>
  </si>
  <si>
    <t>El ejecutable abre y se puede terminar el juego en otro equipo.</t>
  </si>
  <si>
    <t>SPRINT 1 BACKLOG</t>
  </si>
  <si>
    <t>Registre cada día el esfuerzo restante (horas) de cada tarea en la columna del día; el día 0 toma el esfuerzo estimado. Las filas 5 a 9 y las gráficas se calculan solas.</t>
  </si>
  <si>
    <t>Tareas</t>
  </si>
  <si>
    <t>Esfuerzo total (h)</t>
  </si>
  <si>
    <t>Tendencia (h/día)</t>
  </si>
  <si>
    <t>Día</t>
  </si>
  <si>
    <t>Esfuerzo restante</t>
  </si>
  <si>
    <t>SPRINT 2 BACKLOG</t>
  </si>
  <si>
    <t>Tendencia actual</t>
  </si>
  <si>
    <t>Progreso ideal</t>
  </si>
  <si>
    <t>Tareas restantes</t>
  </si>
  <si>
    <t>Tareas ideales</t>
  </si>
  <si>
    <t>Fecha</t>
  </si>
  <si>
    <t>Nombre de la tarea</t>
  </si>
  <si>
    <t>Miembro</t>
  </si>
  <si>
    <t>Rol</t>
  </si>
  <si>
    <t>Esfuerzo (h)</t>
  </si>
  <si>
    <t>Crear proyecto Unity 6 LTS 2D (URP) y repositorio en GitHub</t>
  </si>
  <si>
    <t>Fortino Romero Mantilla</t>
  </si>
  <si>
    <t>Programador</t>
  </si>
  <si>
    <t>Descargar e importar recursos abiertos y registrar licencias</t>
  </si>
  <si>
    <t>Integrador de arte/audio</t>
  </si>
  <si>
    <t>Configurar Input System (teclado, mouse y gamepad)</t>
  </si>
  <si>
    <t>Programar movimiento y animaciones de Ámbar</t>
  </si>
  <si>
    <t>Configurar colisiones con Tilemap</t>
  </si>
  <si>
    <t>Configurar Pixel Perfect Camera y Cinemachine</t>
  </si>
  <si>
    <t>Programar sistema de interacción y aviso</t>
  </si>
  <si>
    <t>Integrar Yarn Spinner y caja de diálogo</t>
  </si>
  <si>
    <t>Escribir diálogos del prólogo en Yarn</t>
  </si>
  <si>
    <t>Game Designer</t>
  </si>
  <si>
    <t>Construir Tilemap de la ofrenda (sala, cocina y patio)</t>
  </si>
  <si>
    <t>Colocar objetos, NPC y disparadores del tutorial</t>
  </si>
  <si>
    <t>Programar recolección y contador de fragmentos</t>
  </si>
  <si>
    <t>Crear efecto de niebla y zonas bloqueadas</t>
  </si>
  <si>
    <t>BURN-DOWN CHART – SPRINT 1</t>
  </si>
  <si>
    <t>TASK CHART – SPRINT 1</t>
  </si>
  <si>
    <t>Esfuerzo restante diario, progreso ideal y tendencia actual del esfuerzo realizado.</t>
  </si>
  <si>
    <t>Número de tareas restantes respecto a los días del sprint.</t>
  </si>
  <si>
    <t>Programar disipación de niebla y Ecos</t>
  </si>
  <si>
    <t>Crear pantalla de título y menú principal</t>
  </si>
  <si>
    <t>Programar guardado y carga en JSON</t>
  </si>
  <si>
    <t>Pruebas Alfa del Sprint 1 y registro en Buglist</t>
  </si>
  <si>
    <t>—</t>
  </si>
  <si>
    <t>Tester</t>
  </si>
  <si>
    <t>Datos auxiliares para las gráficas (filas ocultas; el error NA indica un día sin registro y no se grafica).</t>
  </si>
  <si>
    <t>Programar seguimiento de Tizne</t>
  </si>
  <si>
    <t>Programar pista Olfatear con tiempo de espera</t>
  </si>
  <si>
    <t>Programar lógica del puzle de rotación de piezas</t>
  </si>
  <si>
    <t>Preparar imágenes de los cuatro mosaicos</t>
  </si>
  <si>
    <t>Programar activación de mementos</t>
  </si>
  <si>
    <t>Crear transición visual entre recuerdos</t>
  </si>
  <si>
    <t>Construir Tilemap del Recuerdo 1</t>
  </si>
  <si>
    <t>Integrar diálogos, fragmentos y niebla del Recuerdo 1</t>
  </si>
  <si>
    <t>Construir Tilemap del Recuerdo 2</t>
  </si>
  <si>
    <t>Integrar diálogos, fragmentos y niebla del Recuerdo 2</t>
  </si>
  <si>
    <t>Crear HUD de exploración</t>
  </si>
  <si>
    <t>Crear Diario de recuerdos</t>
  </si>
  <si>
    <t>TASK CHART – SPRINT 2</t>
  </si>
  <si>
    <t>Crear menú de pausa</t>
  </si>
  <si>
    <t>Crear pantalla de Opciones</t>
  </si>
  <si>
    <t>Programar vela de progreso</t>
  </si>
  <si>
    <t>Pruebas Alfa del Sprint 2 y registro en Buglist</t>
  </si>
  <si>
    <t>BURN-DOWN CHART – SPRINT 2</t>
  </si>
  <si>
    <t>SPRINT 3 BACKLOG</t>
  </si>
  <si>
    <t>TASK CHART – SPRINT 3</t>
  </si>
  <si>
    <t>BURN-DOWN CHART – SPRINT 3</t>
  </si>
  <si>
    <t>Construir Tilemap e iluminación 2D del Recuerdo 3</t>
  </si>
  <si>
    <t>Integrar diálogos, Ecos y revelación del Recuerdo 3</t>
  </si>
  <si>
    <t>Construir Tilemap del Recuerdo 4</t>
  </si>
  <si>
    <t>Integrar diálogos y mosaico final del Recuerdo 4</t>
  </si>
  <si>
    <t>BUGLIST</t>
  </si>
  <si>
    <t>Se llena durante las pruebas Alfa de cada sprint y las pruebas Beta. La fila B000 es solo un ejemplo del formato.</t>
  </si>
  <si>
    <t>Programar escena del epílogo</t>
  </si>
  <si>
    <t>BugID</t>
  </si>
  <si>
    <t>Descripción técnica</t>
  </si>
  <si>
    <t>Autor</t>
  </si>
  <si>
    <t>Crear pantalla de créditos con atribuciones</t>
  </si>
  <si>
    <t>Sprint</t>
  </si>
  <si>
    <t>Severidad</t>
  </si>
  <si>
    <t>B000</t>
  </si>
  <si>
    <t>Ejemplo: Ámbar atraviesa la mesa de la cocina en la ofrenda.</t>
  </si>
  <si>
    <t>Ejemplo: falta TilemapCollider2D en la capa Muebles del Mapa 0.</t>
  </si>
  <si>
    <t>Integrar música M01 a M08</t>
  </si>
  <si>
    <t>Cerrado</t>
  </si>
  <si>
    <t>Integrar efectos S01 a S14 y mezclar volúmenes</t>
  </si>
  <si>
    <t>TASK SLIPS – SPRINT 1</t>
  </si>
  <si>
    <t>Media</t>
  </si>
  <si>
    <t>Tarjetas de cada tarea del Sprint 1 Backlog; se actualizan con el esfuerzo registrado. Imprimir y recortar.</t>
  </si>
  <si>
    <t>Programar sistema de logros</t>
  </si>
  <si>
    <t>Programar códigos secretos en el menú</t>
  </si>
  <si>
    <t>Colocar y programar pétalos coleccionables</t>
  </si>
  <si>
    <t>Corregir errores del Buglist</t>
  </si>
  <si>
    <t>Ajustar ritmo, textos y dificultad de mosaicos</t>
  </si>
  <si>
    <t>Compilar build de Windows y probar en otro equipo</t>
  </si>
  <si>
    <t>Pruebas Alfa del Sprint 3 y registro en Buglist</t>
  </si>
  <si>
    <t>Tarea</t>
  </si>
  <si>
    <t>Esfuerzo estimado (h)</t>
  </si>
  <si>
    <t>Terminado (h)</t>
  </si>
  <si>
    <t>Restante (h)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</si>
</sst>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dd/mm"/>
  </numFmts>
  <fonts count="8">
    <font>
      <sz val="11.0"/>
      <color theme="1"/>
      <name val="Calibri"/>
      <scheme val="minor"/>
    </font>
    <font>
      <b/>
      <sz val="14.0"/>
      <color rgb="FF000000"/>
      <name val="Arial"/>
    </font>
    <font>
      <i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000000"/>
      <name val="Arial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1" fillId="0" fontId="4" numFmtId="10" xfId="0" applyAlignment="1" applyBorder="1" applyFont="1" applyNumberFormat="1">
      <alignment horizontal="center" shrinkToFit="0" vertical="center" wrapText="1"/>
    </xf>
    <xf borderId="1" fillId="0" fontId="3" numFmtId="10" xfId="0" applyAlignment="1" applyBorder="1" applyFont="1" applyNumberFormat="1">
      <alignment horizontal="center" shrinkToFit="0" vertical="center" wrapText="1"/>
    </xf>
    <xf borderId="0" fillId="0" fontId="6" numFmtId="0" xfId="0" applyFont="1"/>
    <xf borderId="1" fillId="0" fontId="4" numFmtId="2" xfId="0" applyAlignment="1" applyBorder="1" applyFont="1" applyNumberFormat="1">
      <alignment horizontal="center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1" fillId="0" fontId="4" numFmtId="166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2" fillId="0" fontId="4" numFmtId="0" xfId="0" applyAlignment="1" applyBorder="1" applyFont="1">
      <alignment shrinkToFit="0" vertical="top" wrapText="1"/>
    </xf>
    <xf borderId="3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Project Chart — Estado de los sprints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'Detalles del Proyecto'!$B$14</c:f>
            </c:strRef>
          </c:tx>
          <c:dPt>
            <c:idx val="0"/>
            <c:spPr>
              <a:solidFill>
                <a:srgbClr val="D9D9D9"/>
              </a:solidFill>
            </c:spPr>
          </c:dPt>
          <c:dPt>
            <c:idx val="1"/>
            <c:spPr>
              <a:solidFill>
                <a:srgbClr val="808080"/>
              </a:solidFill>
            </c:spPr>
          </c:dPt>
          <c:dPt>
            <c:idx val="2"/>
            <c:spPr>
              <a:solidFill>
                <a:srgbClr val="FFFFFF"/>
              </a:solidFill>
            </c:spPr>
          </c:dPt>
          <c:dPt>
            <c:idx val="3"/>
            <c:spPr>
              <a:solidFill>
                <a:srgbClr val="40404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'Detalles del Proyecto'!$A$15:$A$18</c:f>
            </c:strRef>
          </c:cat>
          <c:val>
            <c:numRef>
              <c:f>'Detalles del Proyecto'!$B$15:$B$18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Tareas restantes —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Tareas restantes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1 Backlog'!$H$4:$AC$4</c:f>
            </c:strRef>
          </c:cat>
          <c:val>
            <c:numRef>
              <c:f>'Sprint 1 Backlog'!$H$48:$AC$48</c:f>
              <c:numCache/>
            </c:numRef>
          </c:val>
          <c:smooth val="0"/>
        </c:ser>
        <c:ser>
          <c:idx val="1"/>
          <c:order val="1"/>
          <c:tx>
            <c:v>Tareas ideales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1 Backlog'!$H$4:$AC$4</c:f>
            </c:strRef>
          </c:cat>
          <c:val>
            <c:numRef>
              <c:f>'Sprint 1 Backlog'!$H$49:$AC$49</c:f>
              <c:numCache/>
            </c:numRef>
          </c:val>
          <c:smooth val="0"/>
        </c:ser>
        <c:axId val="418475231"/>
        <c:axId val="432860537"/>
      </c:lineChart>
      <c:catAx>
        <c:axId val="41847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2860537"/>
      </c:catAx>
      <c:valAx>
        <c:axId val="43286053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1847523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Burn-down —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Esfuerzo restante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1 Backlog'!$H$4:$AC$4</c:f>
            </c:strRef>
          </c:cat>
          <c:val>
            <c:numRef>
              <c:f>'Sprint 1 Backlog'!$H$45:$AC$45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1 Backlog'!$H$4:$AC$4</c:f>
            </c:strRef>
          </c:cat>
          <c:val>
            <c:numRef>
              <c:f>'Sprint 1 Backlog'!$H$47:$AC$47</c:f>
              <c:numCache/>
            </c:numRef>
          </c:val>
          <c:smooth val="0"/>
        </c:ser>
        <c:axId val="195888886"/>
        <c:axId val="1634889151"/>
      </c:lineChart>
      <c:catAx>
        <c:axId val="195888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4889151"/>
      </c:catAx>
      <c:valAx>
        <c:axId val="163488915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588888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Tareas restantes —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Tareas restantes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2 Backlog'!$H$4:$AC$4</c:f>
            </c:strRef>
          </c:cat>
          <c:val>
            <c:numRef>
              <c:f>'Sprint 2 Backlog'!$H$48:$AC$48</c:f>
              <c:numCache/>
            </c:numRef>
          </c:val>
          <c:smooth val="0"/>
        </c:ser>
        <c:ser>
          <c:idx val="1"/>
          <c:order val="1"/>
          <c:tx>
            <c:v>Tareas ideales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2 Backlog'!$H$4:$AC$4</c:f>
            </c:strRef>
          </c:cat>
          <c:val>
            <c:numRef>
              <c:f>'Sprint 2 Backlog'!$H$49:$AC$49</c:f>
              <c:numCache/>
            </c:numRef>
          </c:val>
          <c:smooth val="0"/>
        </c:ser>
        <c:axId val="1654463497"/>
        <c:axId val="644428977"/>
      </c:lineChart>
      <c:catAx>
        <c:axId val="1654463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4428977"/>
      </c:catAx>
      <c:valAx>
        <c:axId val="64442897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446349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Burn-down —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Esfuerzo restante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2 Backlog'!$H$4:$AC$4</c:f>
            </c:strRef>
          </c:cat>
          <c:val>
            <c:numRef>
              <c:f>'Sprint 2 Backlog'!$H$45:$AC$45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2 Backlog'!$H$4:$AC$4</c:f>
            </c:strRef>
          </c:cat>
          <c:val>
            <c:numRef>
              <c:f>'Sprint 2 Backlog'!$H$47:$AC$47</c:f>
              <c:numCache/>
            </c:numRef>
          </c:val>
          <c:smooth val="0"/>
        </c:ser>
        <c:axId val="443346938"/>
        <c:axId val="608787854"/>
      </c:lineChart>
      <c:catAx>
        <c:axId val="443346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08787854"/>
      </c:catAx>
      <c:valAx>
        <c:axId val="60878785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4334693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Tareas restantes — Sprint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Tareas restantes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3 Backlog'!$H$4:$AC$4</c:f>
            </c:strRef>
          </c:cat>
          <c:val>
            <c:numRef>
              <c:f>'Sprint 3 Backlog'!$H$48:$AC$48</c:f>
              <c:numCache/>
            </c:numRef>
          </c:val>
          <c:smooth val="0"/>
        </c:ser>
        <c:ser>
          <c:idx val="1"/>
          <c:order val="1"/>
          <c:tx>
            <c:v>Tareas ideales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3 Backlog'!$H$4:$AC$4</c:f>
            </c:strRef>
          </c:cat>
          <c:val>
            <c:numRef>
              <c:f>'Sprint 3 Backlog'!$H$49:$AC$49</c:f>
              <c:numCache/>
            </c:numRef>
          </c:val>
          <c:smooth val="0"/>
        </c:ser>
        <c:axId val="120747655"/>
        <c:axId val="1009794563"/>
      </c:lineChart>
      <c:catAx>
        <c:axId val="120747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9794563"/>
      </c:catAx>
      <c:valAx>
        <c:axId val="100979456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74765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Burn-down — Sprint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Esfuerzo restante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3 Backlog'!$H$4:$AC$4</c:f>
            </c:strRef>
          </c:cat>
          <c:val>
            <c:numRef>
              <c:f>'Sprint 3 Backlog'!$H$45:$AC$45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3 Backlog'!$H$4:$AC$4</c:f>
            </c:strRef>
          </c:cat>
          <c:val>
            <c:numRef>
              <c:f>'Sprint 3 Backlog'!$H$47:$AC$47</c:f>
              <c:numCache/>
            </c:numRef>
          </c:val>
          <c:smooth val="0"/>
        </c:ser>
        <c:axId val="781100898"/>
        <c:axId val="1422641216"/>
      </c:lineChart>
      <c:catAx>
        <c:axId val="781100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22641216"/>
      </c:catAx>
      <c:valAx>
        <c:axId val="142264121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110089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5476875" cy="3781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48.0"/>
    <col customWidth="1" min="3" max="26" width="8.71"/>
  </cols>
  <sheetData>
    <row r="1">
      <c r="A1" s="1" t="s">
        <v>2</v>
      </c>
    </row>
    <row r="2">
      <c r="A2" s="3" t="s">
        <v>4</v>
      </c>
    </row>
    <row r="4">
      <c r="A4" s="5" t="s">
        <v>6</v>
      </c>
      <c r="B4" s="6" t="s">
        <v>14</v>
      </c>
    </row>
    <row r="5">
      <c r="A5" s="5" t="s">
        <v>17</v>
      </c>
      <c r="B5" s="6" t="s">
        <v>19</v>
      </c>
    </row>
    <row r="6">
      <c r="A6" s="5" t="s">
        <v>21</v>
      </c>
      <c r="B6" s="6" t="s">
        <v>22</v>
      </c>
    </row>
    <row r="7">
      <c r="A7" s="5" t="s">
        <v>23</v>
      </c>
      <c r="B7" s="6" t="s">
        <v>24</v>
      </c>
    </row>
    <row r="8">
      <c r="A8" s="5" t="s">
        <v>26</v>
      </c>
      <c r="B8" s="6" t="s">
        <v>27</v>
      </c>
    </row>
    <row r="9">
      <c r="A9" s="5" t="s">
        <v>28</v>
      </c>
      <c r="B9" s="8">
        <v>46266.0</v>
      </c>
    </row>
    <row r="10">
      <c r="A10" s="5" t="s">
        <v>32</v>
      </c>
      <c r="B10" s="8">
        <v>46356.0</v>
      </c>
    </row>
    <row r="13">
      <c r="A13" s="10" t="s">
        <v>33</v>
      </c>
    </row>
    <row r="14">
      <c r="A14" s="4" t="s">
        <v>15</v>
      </c>
      <c r="B14" s="4" t="s">
        <v>34</v>
      </c>
    </row>
    <row r="15">
      <c r="A15" s="5" t="s">
        <v>35</v>
      </c>
      <c r="B15" s="11">
        <f>SUMIF('Sprint Plan'!$E$4:$E$6,A15,'Sprint Plan'!$G$4:$G$6)</f>
        <v>1</v>
      </c>
    </row>
    <row r="16">
      <c r="A16" s="5" t="s">
        <v>50</v>
      </c>
      <c r="B16" s="11">
        <f>SUMIF('Sprint Plan'!$E$4:$E$6,A16,'Sprint Plan'!$G$4:$G$6)</f>
        <v>0</v>
      </c>
    </row>
    <row r="17">
      <c r="A17" s="5" t="s">
        <v>58</v>
      </c>
      <c r="B17" s="11">
        <f>SUMIF('Sprint Plan'!$E$4:$E$6,A17,'Sprint Plan'!$G$4:$G$6)</f>
        <v>0</v>
      </c>
    </row>
    <row r="18">
      <c r="A18" s="5" t="s">
        <v>62</v>
      </c>
      <c r="B18" s="11">
        <f>SUMIF('Sprint Plan'!$E$4:$E$6,A18,'Sprint Plan'!$G$4:$G$6)</f>
        <v>0</v>
      </c>
    </row>
    <row r="19">
      <c r="A19" s="5" t="s">
        <v>65</v>
      </c>
      <c r="B19" s="12">
        <f>SUM(B15:B18)</f>
        <v>1</v>
      </c>
    </row>
    <row r="21" ht="15.75" customHeight="1">
      <c r="A21" s="10" t="s">
        <v>73</v>
      </c>
    </row>
    <row r="22" ht="15.75" customHeight="1">
      <c r="A22" s="4" t="s">
        <v>15</v>
      </c>
      <c r="B22" s="4" t="s">
        <v>76</v>
      </c>
    </row>
    <row r="23" ht="15.75" customHeight="1">
      <c r="A23" s="5" t="s">
        <v>35</v>
      </c>
      <c r="B23" s="7">
        <f>COUNTIF('Feature Log'!$D$4:$D$60,A23)</f>
        <v>26</v>
      </c>
    </row>
    <row r="24" ht="15.75" customHeight="1">
      <c r="A24" s="5" t="s">
        <v>58</v>
      </c>
      <c r="B24" s="7">
        <f>COUNTIF('Feature Log'!$D$4:$D$60,A24)</f>
        <v>0</v>
      </c>
    </row>
    <row r="25" ht="15.75" customHeight="1">
      <c r="A25" s="5" t="s">
        <v>50</v>
      </c>
      <c r="B25" s="7">
        <f>COUNTIF('Feature Log'!$D$4:$D$60,A25)</f>
        <v>0</v>
      </c>
    </row>
    <row r="26" ht="15.75" customHeight="1">
      <c r="A26" s="5" t="s">
        <v>62</v>
      </c>
      <c r="B26" s="7">
        <f>COUNTIF('Feature Log'!$D$4:$D$60,A26)</f>
        <v>0</v>
      </c>
    </row>
    <row r="27" ht="15.75" customHeight="1">
      <c r="A27" s="5" t="s">
        <v>97</v>
      </c>
      <c r="B27" s="7">
        <f>COUNTIF('Feature Log'!$D$4:$D$60,A27)</f>
        <v>0</v>
      </c>
    </row>
    <row r="28" ht="15.75" customHeight="1">
      <c r="A28" s="5" t="s">
        <v>100</v>
      </c>
      <c r="B28" s="7">
        <f>COUNTIF('Feature Log'!$D$4:$D$60,A28)</f>
        <v>0</v>
      </c>
    </row>
    <row r="29" ht="15.75" customHeight="1">
      <c r="A29" s="5" t="s">
        <v>65</v>
      </c>
      <c r="B29" s="4">
        <f>SUM(B23:B28)</f>
        <v>26</v>
      </c>
    </row>
    <row r="30" ht="15.75" customHeight="1"/>
    <row r="31" ht="15.75" customHeight="1">
      <c r="A31" s="10" t="s">
        <v>112</v>
      </c>
    </row>
    <row r="32" ht="15.75" customHeight="1">
      <c r="A32" s="4" t="s">
        <v>113</v>
      </c>
      <c r="B32" s="4" t="s">
        <v>114</v>
      </c>
    </row>
    <row r="33" ht="15.75" customHeight="1">
      <c r="A33" s="6" t="s">
        <v>115</v>
      </c>
      <c r="B33" s="6" t="s">
        <v>117</v>
      </c>
    </row>
    <row r="34" ht="15.75" customHeight="1">
      <c r="A34" s="6" t="s">
        <v>119</v>
      </c>
      <c r="B34" s="6" t="s">
        <v>121</v>
      </c>
    </row>
    <row r="35" ht="15.75" customHeight="1">
      <c r="A35" s="6" t="s">
        <v>122</v>
      </c>
      <c r="B35" s="6" t="s">
        <v>123</v>
      </c>
    </row>
    <row r="36" ht="15.75" customHeight="1">
      <c r="A36" s="6" t="s">
        <v>124</v>
      </c>
      <c r="B36" s="6" t="s">
        <v>126</v>
      </c>
    </row>
    <row r="37" ht="15.75" customHeight="1"/>
    <row r="38" ht="15.75" customHeight="1">
      <c r="A38" s="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0"/>
    <col customWidth="1" min="3" max="5" width="14.0"/>
    <col customWidth="1" min="6" max="6" width="70.0"/>
    <col customWidth="1" min="7" max="7" width="10.0"/>
    <col customWidth="1" min="8" max="8" width="24.0"/>
    <col customWidth="1" min="9" max="26" width="8.71"/>
  </cols>
  <sheetData>
    <row r="1">
      <c r="A1" s="1" t="s">
        <v>0</v>
      </c>
    </row>
    <row r="2">
      <c r="A2" s="2" t="s">
        <v>3</v>
      </c>
    </row>
    <row r="3">
      <c r="A3" s="4" t="s">
        <v>5</v>
      </c>
      <c r="B3" s="4" t="s">
        <v>9</v>
      </c>
      <c r="C3" s="4" t="s">
        <v>10</v>
      </c>
      <c r="D3" s="4" t="s">
        <v>13</v>
      </c>
      <c r="E3" s="4" t="s">
        <v>15</v>
      </c>
      <c r="F3" s="4" t="s">
        <v>16</v>
      </c>
      <c r="G3" s="4" t="s">
        <v>18</v>
      </c>
      <c r="H3" s="4" t="s">
        <v>20</v>
      </c>
    </row>
    <row r="4" ht="42.0" customHeight="1">
      <c r="A4" s="7">
        <v>1.0</v>
      </c>
      <c r="B4" s="9">
        <v>46284.0</v>
      </c>
      <c r="C4" s="7">
        <v>21.0</v>
      </c>
      <c r="D4" s="9">
        <f t="shared" ref="D4:D6" si="1">B4+C4-1</f>
        <v>46304</v>
      </c>
      <c r="E4" s="7" t="s">
        <v>35</v>
      </c>
      <c r="F4" s="6" t="s">
        <v>56</v>
      </c>
      <c r="G4" s="11">
        <f t="shared" ref="G4:G6" si="2">C4/SUM($C$4:$C$6)</f>
        <v>0.3333333333</v>
      </c>
      <c r="H4" s="6" t="s">
        <v>72</v>
      </c>
    </row>
    <row r="5" ht="42.0" customHeight="1">
      <c r="A5" s="7">
        <v>2.0</v>
      </c>
      <c r="B5" s="9">
        <v>46305.0</v>
      </c>
      <c r="C5" s="7">
        <v>21.0</v>
      </c>
      <c r="D5" s="9">
        <f t="shared" si="1"/>
        <v>46325</v>
      </c>
      <c r="E5" s="7" t="s">
        <v>35</v>
      </c>
      <c r="F5" s="6" t="s">
        <v>79</v>
      </c>
      <c r="G5" s="11">
        <f t="shared" si="2"/>
        <v>0.3333333333</v>
      </c>
      <c r="H5" s="6" t="s">
        <v>82</v>
      </c>
    </row>
    <row r="6" ht="42.0" customHeight="1">
      <c r="A6" s="7">
        <v>3.0</v>
      </c>
      <c r="B6" s="9">
        <v>46326.0</v>
      </c>
      <c r="C6" s="7">
        <v>21.0</v>
      </c>
      <c r="D6" s="9">
        <f t="shared" si="1"/>
        <v>46346</v>
      </c>
      <c r="E6" s="7" t="s">
        <v>35</v>
      </c>
      <c r="F6" s="6" t="s">
        <v>87</v>
      </c>
      <c r="G6" s="11">
        <f t="shared" si="2"/>
        <v>0.3333333333</v>
      </c>
      <c r="H6" s="6" t="s">
        <v>90</v>
      </c>
    </row>
    <row r="7">
      <c r="A7" s="5" t="s">
        <v>65</v>
      </c>
      <c r="C7" s="4">
        <f>SUM(C4:C6)</f>
        <v>63</v>
      </c>
      <c r="G7" s="12">
        <f>SUM(G4:G6)</f>
        <v>1</v>
      </c>
    </row>
    <row r="9">
      <c r="A9" s="10" t="s">
        <v>105</v>
      </c>
    </row>
    <row r="10">
      <c r="A10" s="4" t="s">
        <v>5</v>
      </c>
      <c r="B10" s="4" t="s">
        <v>107</v>
      </c>
      <c r="C10" s="4" t="s">
        <v>109</v>
      </c>
      <c r="D10" s="4" t="s">
        <v>111</v>
      </c>
    </row>
    <row r="11">
      <c r="A11" s="7">
        <v>1.0</v>
      </c>
      <c r="B11" s="7">
        <f>SUMIF('Feature Log'!$F$4:$F$60,A11,'Feature Log'!$E$4:$E$60)</f>
        <v>21</v>
      </c>
      <c r="C11" s="7">
        <f t="shared" ref="C11:C13" si="3">C4</f>
        <v>21</v>
      </c>
      <c r="D11" s="7">
        <f t="shared" ref="D11:D13" si="4">C11-B11</f>
        <v>0</v>
      </c>
    </row>
    <row r="12">
      <c r="A12" s="7">
        <v>2.0</v>
      </c>
      <c r="B12" s="7">
        <f>SUMIF('Feature Log'!$F$4:$F$60,A12,'Feature Log'!$E$4:$E$60)</f>
        <v>18</v>
      </c>
      <c r="C12" s="7">
        <f t="shared" si="3"/>
        <v>21</v>
      </c>
      <c r="D12" s="7">
        <f t="shared" si="4"/>
        <v>3</v>
      </c>
    </row>
    <row r="13">
      <c r="A13" s="7">
        <v>3.0</v>
      </c>
      <c r="B13" s="7">
        <f>SUMIF('Feature Log'!$F$4:$F$60,A13,'Feature Log'!$E$4:$E$60)</f>
        <v>18</v>
      </c>
      <c r="C13" s="7">
        <f t="shared" si="3"/>
        <v>21</v>
      </c>
      <c r="D13" s="7">
        <f t="shared" si="4"/>
        <v>3</v>
      </c>
    </row>
    <row r="15">
      <c r="A15" s="2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4:E6">
      <formula1>"Planeado,En desarrollo,Sin planear,Terminado"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166</v>
      </c>
    </row>
    <row r="2">
      <c r="A2" s="2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42.0"/>
    <col customWidth="1" min="3" max="3" width="8.0"/>
    <col customWidth="1" min="4" max="4" width="14.0"/>
    <col customWidth="1" min="5" max="5" width="8.0"/>
    <col customWidth="1" min="6" max="6" width="10.0"/>
    <col customWidth="1" min="7" max="7" width="70.0"/>
    <col customWidth="1" min="8" max="26" width="8.71"/>
  </cols>
  <sheetData>
    <row r="1">
      <c r="A1" s="1" t="s">
        <v>1</v>
      </c>
    </row>
    <row r="2">
      <c r="A2" s="2" t="s">
        <v>7</v>
      </c>
    </row>
    <row r="3">
      <c r="A3" s="4" t="s">
        <v>8</v>
      </c>
      <c r="B3" s="4" t="s">
        <v>11</v>
      </c>
      <c r="C3" s="4" t="s">
        <v>12</v>
      </c>
      <c r="D3" s="4" t="s">
        <v>15</v>
      </c>
      <c r="E3" s="4" t="s">
        <v>10</v>
      </c>
      <c r="F3" s="4" t="s">
        <v>5</v>
      </c>
      <c r="G3" s="4" t="s">
        <v>25</v>
      </c>
    </row>
    <row r="4">
      <c r="A4" s="7" t="s">
        <v>29</v>
      </c>
      <c r="B4" s="6" t="s">
        <v>30</v>
      </c>
      <c r="C4" s="7" t="s">
        <v>31</v>
      </c>
      <c r="D4" s="7" t="s">
        <v>35</v>
      </c>
      <c r="E4" s="7">
        <v>1.0</v>
      </c>
      <c r="F4" s="7">
        <v>1.0</v>
      </c>
      <c r="G4" s="6" t="s">
        <v>36</v>
      </c>
    </row>
    <row r="5">
      <c r="A5" s="7" t="s">
        <v>37</v>
      </c>
      <c r="B5" s="6" t="s">
        <v>38</v>
      </c>
      <c r="C5" s="7" t="s">
        <v>39</v>
      </c>
      <c r="D5" s="7" t="s">
        <v>35</v>
      </c>
      <c r="E5" s="7">
        <v>3.0</v>
      </c>
      <c r="F5" s="7">
        <v>1.0</v>
      </c>
      <c r="G5" s="6" t="s">
        <v>40</v>
      </c>
    </row>
    <row r="6">
      <c r="A6" s="7" t="s">
        <v>41</v>
      </c>
      <c r="B6" s="6" t="s">
        <v>42</v>
      </c>
      <c r="C6" s="7" t="s">
        <v>39</v>
      </c>
      <c r="D6" s="7" t="s">
        <v>35</v>
      </c>
      <c r="E6" s="7">
        <v>1.0</v>
      </c>
      <c r="F6" s="7">
        <v>1.0</v>
      </c>
      <c r="G6" s="6" t="s">
        <v>43</v>
      </c>
    </row>
    <row r="7">
      <c r="A7" s="7" t="s">
        <v>44</v>
      </c>
      <c r="B7" s="6" t="s">
        <v>45</v>
      </c>
      <c r="C7" s="7" t="s">
        <v>39</v>
      </c>
      <c r="D7" s="7" t="s">
        <v>35</v>
      </c>
      <c r="E7" s="7">
        <v>2.0</v>
      </c>
      <c r="F7" s="7">
        <v>1.0</v>
      </c>
      <c r="G7" s="6" t="s">
        <v>46</v>
      </c>
    </row>
    <row r="8">
      <c r="A8" s="7" t="s">
        <v>47</v>
      </c>
      <c r="B8" s="6" t="s">
        <v>48</v>
      </c>
      <c r="C8" s="7" t="s">
        <v>39</v>
      </c>
      <c r="D8" s="7" t="s">
        <v>35</v>
      </c>
      <c r="E8" s="7">
        <v>3.0</v>
      </c>
      <c r="F8" s="7">
        <v>1.0</v>
      </c>
      <c r="G8" s="6" t="s">
        <v>49</v>
      </c>
    </row>
    <row r="9">
      <c r="A9" s="7" t="s">
        <v>51</v>
      </c>
      <c r="B9" s="6" t="s">
        <v>52</v>
      </c>
      <c r="C9" s="7" t="s">
        <v>53</v>
      </c>
      <c r="D9" s="7" t="s">
        <v>35</v>
      </c>
      <c r="E9" s="7">
        <v>3.0</v>
      </c>
      <c r="F9" s="7">
        <v>1.0</v>
      </c>
      <c r="G9" s="6" t="s">
        <v>54</v>
      </c>
    </row>
    <row r="10">
      <c r="A10" s="7" t="s">
        <v>55</v>
      </c>
      <c r="B10" s="6" t="s">
        <v>57</v>
      </c>
      <c r="C10" s="7" t="s">
        <v>59</v>
      </c>
      <c r="D10" s="7" t="s">
        <v>35</v>
      </c>
      <c r="E10" s="7">
        <v>2.0</v>
      </c>
      <c r="F10" s="7">
        <v>1.0</v>
      </c>
      <c r="G10" s="6" t="s">
        <v>60</v>
      </c>
    </row>
    <row r="11">
      <c r="A11" s="7" t="s">
        <v>61</v>
      </c>
      <c r="B11" s="6" t="s">
        <v>63</v>
      </c>
      <c r="C11" s="7" t="s">
        <v>59</v>
      </c>
      <c r="D11" s="7" t="s">
        <v>35</v>
      </c>
      <c r="E11" s="7">
        <v>3.0</v>
      </c>
      <c r="F11" s="7">
        <v>1.0</v>
      </c>
      <c r="G11" s="6" t="s">
        <v>64</v>
      </c>
    </row>
    <row r="12">
      <c r="A12" s="7" t="s">
        <v>66</v>
      </c>
      <c r="B12" s="6" t="s">
        <v>67</v>
      </c>
      <c r="C12" s="7" t="s">
        <v>68</v>
      </c>
      <c r="D12" s="7" t="s">
        <v>35</v>
      </c>
      <c r="E12" s="7">
        <v>1.0</v>
      </c>
      <c r="F12" s="7">
        <v>1.0</v>
      </c>
      <c r="G12" s="6" t="s">
        <v>69</v>
      </c>
    </row>
    <row r="13">
      <c r="A13" s="7" t="s">
        <v>70</v>
      </c>
      <c r="B13" s="6" t="s">
        <v>71</v>
      </c>
      <c r="C13" s="7" t="s">
        <v>68</v>
      </c>
      <c r="D13" s="7" t="s">
        <v>35</v>
      </c>
      <c r="E13" s="7">
        <v>2.0</v>
      </c>
      <c r="F13" s="7">
        <v>1.0</v>
      </c>
      <c r="G13" s="6" t="s">
        <v>74</v>
      </c>
    </row>
    <row r="14">
      <c r="A14" s="7" t="s">
        <v>75</v>
      </c>
      <c r="B14" s="6" t="s">
        <v>77</v>
      </c>
      <c r="C14" s="7" t="s">
        <v>39</v>
      </c>
      <c r="D14" s="7" t="s">
        <v>35</v>
      </c>
      <c r="E14" s="7">
        <v>2.0</v>
      </c>
      <c r="F14" s="7">
        <v>2.0</v>
      </c>
      <c r="G14" s="6" t="s">
        <v>78</v>
      </c>
    </row>
    <row r="15">
      <c r="A15" s="7" t="s">
        <v>80</v>
      </c>
      <c r="B15" s="6" t="s">
        <v>81</v>
      </c>
      <c r="C15" s="7" t="s">
        <v>59</v>
      </c>
      <c r="D15" s="7" t="s">
        <v>35</v>
      </c>
      <c r="E15" s="7">
        <v>3.0</v>
      </c>
      <c r="F15" s="7">
        <v>2.0</v>
      </c>
      <c r="G15" s="6" t="s">
        <v>83</v>
      </c>
    </row>
    <row r="16">
      <c r="A16" s="7" t="s">
        <v>84</v>
      </c>
      <c r="B16" s="6" t="s">
        <v>85</v>
      </c>
      <c r="C16" s="7" t="s">
        <v>59</v>
      </c>
      <c r="D16" s="7" t="s">
        <v>35</v>
      </c>
      <c r="E16" s="7">
        <v>2.0</v>
      </c>
      <c r="F16" s="7">
        <v>2.0</v>
      </c>
      <c r="G16" s="6" t="s">
        <v>86</v>
      </c>
    </row>
    <row r="17">
      <c r="A17" s="7" t="s">
        <v>88</v>
      </c>
      <c r="B17" s="6" t="s">
        <v>89</v>
      </c>
      <c r="C17" s="7" t="s">
        <v>53</v>
      </c>
      <c r="D17" s="7" t="s">
        <v>35</v>
      </c>
      <c r="E17" s="7">
        <v>3.0</v>
      </c>
      <c r="F17" s="7">
        <v>2.0</v>
      </c>
      <c r="G17" s="6" t="s">
        <v>91</v>
      </c>
    </row>
    <row r="18">
      <c r="A18" s="7" t="s">
        <v>92</v>
      </c>
      <c r="B18" s="6" t="s">
        <v>93</v>
      </c>
      <c r="C18" s="7" t="s">
        <v>53</v>
      </c>
      <c r="D18" s="7" t="s">
        <v>35</v>
      </c>
      <c r="E18" s="7">
        <v>3.0</v>
      </c>
      <c r="F18" s="7">
        <v>2.0</v>
      </c>
      <c r="G18" s="6" t="s">
        <v>94</v>
      </c>
    </row>
    <row r="19">
      <c r="A19" s="7" t="s">
        <v>95</v>
      </c>
      <c r="B19" s="6" t="s">
        <v>96</v>
      </c>
      <c r="C19" s="7" t="s">
        <v>68</v>
      </c>
      <c r="D19" s="7" t="s">
        <v>35</v>
      </c>
      <c r="E19" s="7">
        <v>2.0</v>
      </c>
      <c r="F19" s="7">
        <v>2.0</v>
      </c>
      <c r="G19" s="6" t="s">
        <v>98</v>
      </c>
    </row>
    <row r="20">
      <c r="A20" s="7" t="s">
        <v>99</v>
      </c>
      <c r="B20" s="6" t="s">
        <v>101</v>
      </c>
      <c r="C20" s="7" t="s">
        <v>68</v>
      </c>
      <c r="D20" s="7" t="s">
        <v>35</v>
      </c>
      <c r="E20" s="7">
        <v>2.0</v>
      </c>
      <c r="F20" s="7">
        <v>2.0</v>
      </c>
      <c r="G20" s="6" t="s">
        <v>102</v>
      </c>
    </row>
    <row r="21" ht="15.75" customHeight="1">
      <c r="A21" s="7" t="s">
        <v>103</v>
      </c>
      <c r="B21" s="6" t="s">
        <v>104</v>
      </c>
      <c r="C21" s="7" t="s">
        <v>59</v>
      </c>
      <c r="D21" s="7" t="s">
        <v>35</v>
      </c>
      <c r="E21" s="7">
        <v>1.0</v>
      </c>
      <c r="F21" s="7">
        <v>2.0</v>
      </c>
      <c r="G21" s="6" t="s">
        <v>106</v>
      </c>
    </row>
    <row r="22" ht="15.75" customHeight="1">
      <c r="A22" s="7" t="s">
        <v>108</v>
      </c>
      <c r="B22" s="6" t="s">
        <v>110</v>
      </c>
      <c r="C22" s="7" t="s">
        <v>53</v>
      </c>
      <c r="D22" s="7" t="s">
        <v>35</v>
      </c>
      <c r="E22" s="7">
        <v>3.0</v>
      </c>
      <c r="F22" s="7">
        <v>3.0</v>
      </c>
      <c r="G22" s="6" t="s">
        <v>116</v>
      </c>
    </row>
    <row r="23" ht="15.75" customHeight="1">
      <c r="A23" s="7" t="s">
        <v>118</v>
      </c>
      <c r="B23" s="6" t="s">
        <v>120</v>
      </c>
      <c r="C23" s="7" t="s">
        <v>53</v>
      </c>
      <c r="D23" s="7" t="s">
        <v>35</v>
      </c>
      <c r="E23" s="7">
        <v>3.0</v>
      </c>
      <c r="F23" s="7">
        <v>3.0</v>
      </c>
      <c r="G23" s="6" t="s">
        <v>125</v>
      </c>
    </row>
    <row r="24" ht="15.75" customHeight="1">
      <c r="A24" s="7" t="s">
        <v>127</v>
      </c>
      <c r="B24" s="6" t="s">
        <v>128</v>
      </c>
      <c r="C24" s="7" t="s">
        <v>53</v>
      </c>
      <c r="D24" s="7" t="s">
        <v>35</v>
      </c>
      <c r="E24" s="7">
        <v>2.0</v>
      </c>
      <c r="F24" s="7">
        <v>3.0</v>
      </c>
      <c r="G24" s="6" t="s">
        <v>129</v>
      </c>
    </row>
    <row r="25" ht="15.75" customHeight="1">
      <c r="A25" s="7" t="s">
        <v>130</v>
      </c>
      <c r="B25" s="6" t="s">
        <v>131</v>
      </c>
      <c r="C25" s="7" t="s">
        <v>132</v>
      </c>
      <c r="D25" s="7" t="s">
        <v>35</v>
      </c>
      <c r="E25" s="7">
        <v>2.0</v>
      </c>
      <c r="F25" s="7">
        <v>3.0</v>
      </c>
      <c r="G25" s="6" t="s">
        <v>133</v>
      </c>
    </row>
    <row r="26" ht="15.75" customHeight="1">
      <c r="A26" s="7" t="s">
        <v>134</v>
      </c>
      <c r="B26" s="6" t="s">
        <v>135</v>
      </c>
      <c r="C26" s="7" t="s">
        <v>132</v>
      </c>
      <c r="D26" s="7" t="s">
        <v>35</v>
      </c>
      <c r="E26" s="7">
        <v>2.0</v>
      </c>
      <c r="F26" s="7">
        <v>3.0</v>
      </c>
      <c r="G26" s="6" t="s">
        <v>136</v>
      </c>
    </row>
    <row r="27" ht="15.75" customHeight="1">
      <c r="A27" s="7" t="s">
        <v>137</v>
      </c>
      <c r="B27" s="6" t="s">
        <v>138</v>
      </c>
      <c r="C27" s="7" t="s">
        <v>132</v>
      </c>
      <c r="D27" s="7" t="s">
        <v>35</v>
      </c>
      <c r="E27" s="7">
        <v>1.0</v>
      </c>
      <c r="F27" s="7">
        <v>3.0</v>
      </c>
      <c r="G27" s="6" t="s">
        <v>139</v>
      </c>
    </row>
    <row r="28" ht="15.75" customHeight="1">
      <c r="A28" s="7" t="s">
        <v>140</v>
      </c>
      <c r="B28" s="6" t="s">
        <v>141</v>
      </c>
      <c r="C28" s="7" t="s">
        <v>31</v>
      </c>
      <c r="D28" s="7" t="s">
        <v>35</v>
      </c>
      <c r="E28" s="7">
        <v>4.0</v>
      </c>
      <c r="F28" s="7">
        <v>3.0</v>
      </c>
      <c r="G28" s="6" t="s">
        <v>142</v>
      </c>
    </row>
    <row r="29" ht="15.75" customHeight="1">
      <c r="A29" s="7" t="s">
        <v>143</v>
      </c>
      <c r="B29" s="6" t="s">
        <v>144</v>
      </c>
      <c r="C29" s="7" t="s">
        <v>31</v>
      </c>
      <c r="D29" s="7" t="s">
        <v>35</v>
      </c>
      <c r="E29" s="7">
        <v>1.0</v>
      </c>
      <c r="F29" s="7">
        <v>3.0</v>
      </c>
      <c r="G29" s="6" t="s">
        <v>145</v>
      </c>
    </row>
    <row r="30" ht="15.75" customHeight="1">
      <c r="D30" s="5" t="s">
        <v>146</v>
      </c>
      <c r="E30" s="4">
        <f>SUM(E4:E29)</f>
        <v>57</v>
      </c>
    </row>
    <row r="31" ht="15.75" customHeight="1">
      <c r="D31" s="13"/>
    </row>
    <row r="32" ht="15.75" customHeight="1">
      <c r="D32" s="13"/>
    </row>
    <row r="33" ht="15.75" customHeight="1">
      <c r="D33" s="13"/>
    </row>
    <row r="34" ht="15.75" customHeight="1">
      <c r="D34" s="13"/>
    </row>
    <row r="35" ht="15.75" customHeight="1">
      <c r="D35" s="13"/>
    </row>
    <row r="36" ht="15.75" customHeight="1">
      <c r="D36" s="13"/>
    </row>
    <row r="37" ht="15.75" customHeight="1">
      <c r="D37" s="13"/>
    </row>
    <row r="38" ht="15.75" customHeight="1">
      <c r="D38" s="13"/>
    </row>
    <row r="39" ht="15.75" customHeight="1">
      <c r="D39" s="13"/>
    </row>
    <row r="40" ht="15.75" customHeight="1">
      <c r="D40" s="13"/>
    </row>
    <row r="41" ht="15.75" customHeight="1">
      <c r="D41" s="13"/>
    </row>
    <row r="42" ht="15.75" customHeight="1">
      <c r="D42" s="13"/>
    </row>
    <row r="43" ht="15.75" customHeight="1">
      <c r="D43" s="13"/>
    </row>
    <row r="44" ht="15.75" customHeight="1">
      <c r="D44" s="13"/>
    </row>
    <row r="45" ht="15.75" customHeight="1">
      <c r="D45" s="13"/>
    </row>
    <row r="46" ht="15.75" customHeight="1">
      <c r="D46" s="13"/>
    </row>
    <row r="47" ht="15.75" customHeight="1">
      <c r="D47" s="13"/>
    </row>
    <row r="48" ht="15.75" customHeight="1">
      <c r="D48" s="13"/>
    </row>
    <row r="49" ht="15.75" customHeight="1">
      <c r="D49" s="13"/>
    </row>
    <row r="50" ht="15.75" customHeight="1">
      <c r="D50" s="13"/>
    </row>
    <row r="51" ht="15.75" customHeight="1">
      <c r="D51" s="13"/>
    </row>
    <row r="52" ht="15.75" customHeight="1">
      <c r="D52" s="13"/>
    </row>
    <row r="53" ht="15.75" customHeight="1">
      <c r="D53" s="13"/>
    </row>
    <row r="54" ht="15.75" customHeight="1">
      <c r="D54" s="13"/>
    </row>
    <row r="55" ht="15.75" customHeight="1">
      <c r="D55" s="13"/>
    </row>
    <row r="56" ht="15.75" customHeight="1">
      <c r="D56" s="13"/>
    </row>
    <row r="57" ht="15.75" customHeight="1">
      <c r="D57" s="13"/>
    </row>
    <row r="58" ht="15.75" customHeight="1">
      <c r="D58" s="13"/>
    </row>
    <row r="59" ht="15.75" customHeight="1">
      <c r="D59" s="13"/>
    </row>
    <row r="60" ht="15.75" customHeight="1">
      <c r="D60" s="1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4:D60">
      <formula1>"Planeado,Sin planear,En desarrollo,Terminado,Feature Creep,Eliminado"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2.0"/>
    <col customWidth="1" min="3" max="3" width="40.0"/>
    <col customWidth="1" min="4" max="5" width="55.0"/>
    <col customWidth="1" min="6" max="6" width="9.0"/>
    <col customWidth="1" min="7" max="26" width="8.71"/>
  </cols>
  <sheetData>
    <row r="1">
      <c r="A1" s="1" t="s">
        <v>148</v>
      </c>
    </row>
    <row r="2">
      <c r="A2" s="2" t="s">
        <v>149</v>
      </c>
    </row>
    <row r="3">
      <c r="A3" s="4" t="s">
        <v>12</v>
      </c>
      <c r="B3" s="4" t="s">
        <v>11</v>
      </c>
      <c r="C3" s="4" t="s">
        <v>150</v>
      </c>
    </row>
    <row r="4">
      <c r="A4" s="7" t="s">
        <v>39</v>
      </c>
      <c r="B4" s="6" t="s">
        <v>151</v>
      </c>
      <c r="C4" s="6" t="s">
        <v>152</v>
      </c>
    </row>
    <row r="5">
      <c r="A5" s="7" t="s">
        <v>59</v>
      </c>
      <c r="B5" s="6" t="s">
        <v>153</v>
      </c>
      <c r="C5" s="6" t="s">
        <v>154</v>
      </c>
    </row>
    <row r="6">
      <c r="A6" s="7" t="s">
        <v>53</v>
      </c>
      <c r="B6" s="6" t="s">
        <v>155</v>
      </c>
      <c r="C6" s="6" t="s">
        <v>156</v>
      </c>
    </row>
    <row r="7">
      <c r="A7" s="7" t="s">
        <v>68</v>
      </c>
      <c r="B7" s="6" t="s">
        <v>157</v>
      </c>
      <c r="C7" s="6" t="s">
        <v>158</v>
      </c>
    </row>
    <row r="8">
      <c r="A8" s="7" t="s">
        <v>132</v>
      </c>
      <c r="B8" s="6" t="s">
        <v>159</v>
      </c>
      <c r="C8" s="6" t="s">
        <v>160</v>
      </c>
    </row>
    <row r="9">
      <c r="A9" s="7" t="s">
        <v>31</v>
      </c>
      <c r="B9" s="6" t="s">
        <v>161</v>
      </c>
      <c r="C9" s="6" t="s">
        <v>162</v>
      </c>
    </row>
    <row r="12">
      <c r="A12" s="4" t="s">
        <v>163</v>
      </c>
      <c r="B12" s="4" t="s">
        <v>12</v>
      </c>
      <c r="C12" s="4" t="s">
        <v>8</v>
      </c>
      <c r="D12" s="4" t="s">
        <v>164</v>
      </c>
      <c r="E12" s="4" t="s">
        <v>165</v>
      </c>
      <c r="F12" s="4" t="s">
        <v>5</v>
      </c>
    </row>
    <row r="13">
      <c r="A13" s="7" t="s">
        <v>167</v>
      </c>
      <c r="B13" s="7" t="s">
        <v>31</v>
      </c>
      <c r="C13" s="7" t="s">
        <v>29</v>
      </c>
      <c r="D13" s="6" t="s">
        <v>169</v>
      </c>
      <c r="E13" s="6" t="s">
        <v>170</v>
      </c>
      <c r="F13" s="7">
        <v>1.0</v>
      </c>
    </row>
    <row r="14">
      <c r="A14" s="7" t="s">
        <v>171</v>
      </c>
      <c r="B14" s="7" t="s">
        <v>39</v>
      </c>
      <c r="C14" s="7" t="s">
        <v>37</v>
      </c>
      <c r="D14" s="6" t="s">
        <v>172</v>
      </c>
      <c r="E14" s="6" t="s">
        <v>173</v>
      </c>
      <c r="F14" s="7">
        <v>1.0</v>
      </c>
    </row>
    <row r="15">
      <c r="A15" s="7" t="s">
        <v>174</v>
      </c>
      <c r="B15" s="7" t="s">
        <v>39</v>
      </c>
      <c r="C15" s="7" t="s">
        <v>41</v>
      </c>
      <c r="D15" s="6" t="s">
        <v>175</v>
      </c>
      <c r="E15" s="6" t="s">
        <v>176</v>
      </c>
      <c r="F15" s="7">
        <v>1.0</v>
      </c>
    </row>
    <row r="16">
      <c r="A16" s="7" t="s">
        <v>177</v>
      </c>
      <c r="B16" s="7" t="s">
        <v>39</v>
      </c>
      <c r="C16" s="7" t="s">
        <v>44</v>
      </c>
      <c r="D16" s="6" t="s">
        <v>178</v>
      </c>
      <c r="E16" s="6" t="s">
        <v>179</v>
      </c>
      <c r="F16" s="7">
        <v>1.0</v>
      </c>
    </row>
    <row r="17">
      <c r="A17" s="7" t="s">
        <v>180</v>
      </c>
      <c r="B17" s="7" t="s">
        <v>39</v>
      </c>
      <c r="C17" s="7" t="s">
        <v>47</v>
      </c>
      <c r="D17" s="6" t="s">
        <v>181</v>
      </c>
      <c r="E17" s="6" t="s">
        <v>182</v>
      </c>
      <c r="F17" s="7">
        <v>1.0</v>
      </c>
    </row>
    <row r="18">
      <c r="A18" s="7" t="s">
        <v>183</v>
      </c>
      <c r="B18" s="7" t="s">
        <v>53</v>
      </c>
      <c r="C18" s="7" t="s">
        <v>51</v>
      </c>
      <c r="D18" s="6" t="s">
        <v>184</v>
      </c>
      <c r="E18" s="6" t="s">
        <v>185</v>
      </c>
      <c r="F18" s="7">
        <v>1.0</v>
      </c>
    </row>
    <row r="19">
      <c r="A19" s="7" t="s">
        <v>186</v>
      </c>
      <c r="B19" s="7" t="s">
        <v>59</v>
      </c>
      <c r="C19" s="7" t="s">
        <v>55</v>
      </c>
      <c r="D19" s="6" t="s">
        <v>187</v>
      </c>
      <c r="E19" s="6" t="s">
        <v>188</v>
      </c>
      <c r="F19" s="7">
        <v>1.0</v>
      </c>
    </row>
    <row r="20">
      <c r="A20" s="7" t="s">
        <v>189</v>
      </c>
      <c r="B20" s="7" t="s">
        <v>59</v>
      </c>
      <c r="C20" s="7" t="s">
        <v>61</v>
      </c>
      <c r="D20" s="6" t="s">
        <v>190</v>
      </c>
      <c r="E20" s="6" t="s">
        <v>191</v>
      </c>
      <c r="F20" s="7">
        <v>1.0</v>
      </c>
    </row>
    <row r="21" ht="15.75" customHeight="1">
      <c r="A21" s="7" t="s">
        <v>192</v>
      </c>
      <c r="B21" s="7" t="s">
        <v>68</v>
      </c>
      <c r="C21" s="7" t="s">
        <v>66</v>
      </c>
      <c r="D21" s="6" t="s">
        <v>193</v>
      </c>
      <c r="E21" s="6" t="s">
        <v>194</v>
      </c>
      <c r="F21" s="7">
        <v>1.0</v>
      </c>
    </row>
    <row r="22" ht="15.75" customHeight="1">
      <c r="A22" s="7" t="s">
        <v>195</v>
      </c>
      <c r="B22" s="7" t="s">
        <v>68</v>
      </c>
      <c r="C22" s="7" t="s">
        <v>70</v>
      </c>
      <c r="D22" s="6" t="s">
        <v>196</v>
      </c>
      <c r="E22" s="6" t="s">
        <v>197</v>
      </c>
      <c r="F22" s="7">
        <v>1.0</v>
      </c>
    </row>
    <row r="23" ht="15.75" customHeight="1">
      <c r="A23" s="7" t="s">
        <v>198</v>
      </c>
      <c r="B23" s="7" t="s">
        <v>39</v>
      </c>
      <c r="C23" s="7" t="s">
        <v>75</v>
      </c>
      <c r="D23" s="6" t="s">
        <v>199</v>
      </c>
      <c r="E23" s="6" t="s">
        <v>200</v>
      </c>
      <c r="F23" s="7">
        <v>2.0</v>
      </c>
    </row>
    <row r="24" ht="15.75" customHeight="1">
      <c r="A24" s="7" t="s">
        <v>201</v>
      </c>
      <c r="B24" s="7" t="s">
        <v>59</v>
      </c>
      <c r="C24" s="7" t="s">
        <v>80</v>
      </c>
      <c r="D24" s="6" t="s">
        <v>202</v>
      </c>
      <c r="E24" s="6" t="s">
        <v>203</v>
      </c>
      <c r="F24" s="7">
        <v>2.0</v>
      </c>
    </row>
    <row r="25" ht="15.75" customHeight="1">
      <c r="A25" s="7" t="s">
        <v>204</v>
      </c>
      <c r="B25" s="7" t="s">
        <v>59</v>
      </c>
      <c r="C25" s="7" t="s">
        <v>84</v>
      </c>
      <c r="D25" s="6" t="s">
        <v>205</v>
      </c>
      <c r="E25" s="6" t="s">
        <v>206</v>
      </c>
      <c r="F25" s="7">
        <v>2.0</v>
      </c>
    </row>
    <row r="26" ht="15.75" customHeight="1">
      <c r="A26" s="7" t="s">
        <v>207</v>
      </c>
      <c r="B26" s="7" t="s">
        <v>53</v>
      </c>
      <c r="C26" s="7" t="s">
        <v>88</v>
      </c>
      <c r="D26" s="6" t="s">
        <v>208</v>
      </c>
      <c r="E26" s="6" t="s">
        <v>209</v>
      </c>
      <c r="F26" s="7">
        <v>2.0</v>
      </c>
    </row>
    <row r="27" ht="15.75" customHeight="1">
      <c r="A27" s="7" t="s">
        <v>210</v>
      </c>
      <c r="B27" s="7" t="s">
        <v>53</v>
      </c>
      <c r="C27" s="7" t="s">
        <v>92</v>
      </c>
      <c r="D27" s="6" t="s">
        <v>211</v>
      </c>
      <c r="E27" s="6" t="s">
        <v>212</v>
      </c>
      <c r="F27" s="7">
        <v>2.0</v>
      </c>
    </row>
    <row r="28" ht="15.75" customHeight="1">
      <c r="A28" s="7" t="s">
        <v>213</v>
      </c>
      <c r="B28" s="7" t="s">
        <v>68</v>
      </c>
      <c r="C28" s="7" t="s">
        <v>95</v>
      </c>
      <c r="D28" s="6" t="s">
        <v>214</v>
      </c>
      <c r="E28" s="6" t="s">
        <v>215</v>
      </c>
      <c r="F28" s="7">
        <v>2.0</v>
      </c>
    </row>
    <row r="29" ht="15.75" customHeight="1">
      <c r="A29" s="7" t="s">
        <v>216</v>
      </c>
      <c r="B29" s="7" t="s">
        <v>68</v>
      </c>
      <c r="C29" s="7" t="s">
        <v>99</v>
      </c>
      <c r="D29" s="6" t="s">
        <v>217</v>
      </c>
      <c r="E29" s="6" t="s">
        <v>218</v>
      </c>
      <c r="F29" s="7">
        <v>2.0</v>
      </c>
    </row>
    <row r="30" ht="15.75" customHeight="1">
      <c r="A30" s="7" t="s">
        <v>219</v>
      </c>
      <c r="B30" s="7" t="s">
        <v>59</v>
      </c>
      <c r="C30" s="7" t="s">
        <v>103</v>
      </c>
      <c r="D30" s="6" t="s">
        <v>220</v>
      </c>
      <c r="E30" s="6" t="s">
        <v>221</v>
      </c>
      <c r="F30" s="7">
        <v>2.0</v>
      </c>
    </row>
    <row r="31" ht="15.75" customHeight="1">
      <c r="A31" s="7" t="s">
        <v>222</v>
      </c>
      <c r="B31" s="7" t="s">
        <v>53</v>
      </c>
      <c r="C31" s="7" t="s">
        <v>108</v>
      </c>
      <c r="D31" s="6" t="s">
        <v>223</v>
      </c>
      <c r="E31" s="6" t="s">
        <v>224</v>
      </c>
      <c r="F31" s="7">
        <v>3.0</v>
      </c>
    </row>
    <row r="32" ht="15.75" customHeight="1">
      <c r="A32" s="7" t="s">
        <v>225</v>
      </c>
      <c r="B32" s="7" t="s">
        <v>53</v>
      </c>
      <c r="C32" s="7" t="s">
        <v>118</v>
      </c>
      <c r="D32" s="6" t="s">
        <v>226</v>
      </c>
      <c r="E32" s="6" t="s">
        <v>227</v>
      </c>
      <c r="F32" s="7">
        <v>3.0</v>
      </c>
    </row>
    <row r="33" ht="15.75" customHeight="1">
      <c r="A33" s="7" t="s">
        <v>228</v>
      </c>
      <c r="B33" s="7" t="s">
        <v>53</v>
      </c>
      <c r="C33" s="7" t="s">
        <v>127</v>
      </c>
      <c r="D33" s="6" t="s">
        <v>229</v>
      </c>
      <c r="E33" s="6" t="s">
        <v>230</v>
      </c>
      <c r="F33" s="7">
        <v>3.0</v>
      </c>
    </row>
    <row r="34" ht="15.75" customHeight="1">
      <c r="A34" s="7" t="s">
        <v>231</v>
      </c>
      <c r="B34" s="7" t="s">
        <v>132</v>
      </c>
      <c r="C34" s="7" t="s">
        <v>130</v>
      </c>
      <c r="D34" s="6" t="s">
        <v>232</v>
      </c>
      <c r="E34" s="6" t="s">
        <v>233</v>
      </c>
      <c r="F34" s="7">
        <v>3.0</v>
      </c>
    </row>
    <row r="35" ht="15.75" customHeight="1">
      <c r="A35" s="7" t="s">
        <v>234</v>
      </c>
      <c r="B35" s="7" t="s">
        <v>132</v>
      </c>
      <c r="C35" s="7" t="s">
        <v>134</v>
      </c>
      <c r="D35" s="6" t="s">
        <v>235</v>
      </c>
      <c r="E35" s="6" t="s">
        <v>236</v>
      </c>
      <c r="F35" s="7">
        <v>3.0</v>
      </c>
    </row>
    <row r="36" ht="15.75" customHeight="1">
      <c r="A36" s="7" t="s">
        <v>237</v>
      </c>
      <c r="B36" s="7" t="s">
        <v>132</v>
      </c>
      <c r="C36" s="7" t="s">
        <v>137</v>
      </c>
      <c r="D36" s="6" t="s">
        <v>238</v>
      </c>
      <c r="E36" s="6" t="s">
        <v>239</v>
      </c>
      <c r="F36" s="7">
        <v>3.0</v>
      </c>
    </row>
    <row r="37" ht="15.75" customHeight="1">
      <c r="A37" s="7" t="s">
        <v>240</v>
      </c>
      <c r="B37" s="7" t="s">
        <v>31</v>
      </c>
      <c r="C37" s="7" t="s">
        <v>140</v>
      </c>
      <c r="D37" s="6" t="s">
        <v>241</v>
      </c>
      <c r="E37" s="6" t="s">
        <v>242</v>
      </c>
      <c r="F37" s="7">
        <v>3.0</v>
      </c>
    </row>
    <row r="38" ht="15.75" customHeight="1">
      <c r="A38" s="7" t="s">
        <v>243</v>
      </c>
      <c r="B38" s="7" t="s">
        <v>31</v>
      </c>
      <c r="C38" s="7" t="s">
        <v>143</v>
      </c>
      <c r="D38" s="6" t="s">
        <v>244</v>
      </c>
      <c r="E38" s="6" t="s">
        <v>245</v>
      </c>
      <c r="F38" s="7">
        <v>3.0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2.0" topLeftCell="H13" activePane="bottomRight" state="frozen"/>
      <selection activeCell="H1" sqref="H1" pane="topRight"/>
      <selection activeCell="A13" sqref="A13" pane="bottomLeft"/>
      <selection activeCell="H13" sqref="H13" pane="bottomRight"/>
    </sheetView>
  </sheetViews>
  <sheetFormatPr customHeight="1" defaultColWidth="14.43" defaultRowHeight="15.0"/>
  <cols>
    <col customWidth="1" min="1" max="1" width="50.0"/>
    <col customWidth="1" min="2" max="2" width="8.0"/>
    <col customWidth="1" min="3" max="3" width="10.0"/>
    <col customWidth="1" min="4" max="4" width="24.0"/>
    <col customWidth="1" min="5" max="5" width="22.0"/>
    <col customWidth="1" min="6" max="6" width="13.0"/>
    <col customWidth="1" min="7" max="7" width="18.0"/>
    <col customWidth="1" min="8" max="29" width="6.57"/>
  </cols>
  <sheetData>
    <row r="1">
      <c r="A1" s="1" t="s">
        <v>246</v>
      </c>
    </row>
    <row r="2">
      <c r="A2" s="2" t="s">
        <v>247</v>
      </c>
    </row>
    <row r="3">
      <c r="A3" s="5" t="s">
        <v>10</v>
      </c>
      <c r="B3" s="7">
        <f t="array" ref="B3">INDEX('Sprint Plan'!$C$4:$C$6,1)</f>
        <v>21</v>
      </c>
      <c r="C3" s="5" t="s">
        <v>248</v>
      </c>
      <c r="D3" s="7">
        <f>COUNTA(A13:A42)</f>
        <v>17</v>
      </c>
      <c r="E3" s="5" t="s">
        <v>249</v>
      </c>
      <c r="F3" s="7">
        <f>SUM(G13:G42)</f>
        <v>58</v>
      </c>
      <c r="G3" s="5" t="s">
        <v>250</v>
      </c>
      <c r="H3" s="14">
        <f t="array" ref="H3">IF(COUNT($H$5:$AC$5)&lt;=1,0,($F$3-INDEX($H$5:$AC$5,COUNT($H$5:$AC$5)))/(COUNT($H$5:$AC$5)-1))</f>
        <v>0</v>
      </c>
      <c r="I3" s="5" t="s">
        <v>9</v>
      </c>
      <c r="J3" s="9">
        <f t="array" ref="J3">INDEX('Sprint Plan'!$B$4:$B$6,1)</f>
        <v>46284</v>
      </c>
    </row>
    <row r="4">
      <c r="G4" s="5" t="s">
        <v>251</v>
      </c>
      <c r="H4" s="4">
        <v>0.0</v>
      </c>
      <c r="I4" s="4">
        <v>1.0</v>
      </c>
      <c r="J4" s="4">
        <v>2.0</v>
      </c>
      <c r="K4" s="4">
        <v>3.0</v>
      </c>
      <c r="L4" s="4">
        <v>4.0</v>
      </c>
      <c r="M4" s="4">
        <v>5.0</v>
      </c>
      <c r="N4" s="4">
        <v>6.0</v>
      </c>
      <c r="O4" s="4">
        <v>7.0</v>
      </c>
      <c r="P4" s="4">
        <v>8.0</v>
      </c>
      <c r="Q4" s="4">
        <v>9.0</v>
      </c>
      <c r="R4" s="4">
        <v>10.0</v>
      </c>
      <c r="S4" s="4">
        <v>11.0</v>
      </c>
      <c r="T4" s="4">
        <v>12.0</v>
      </c>
      <c r="U4" s="4">
        <v>13.0</v>
      </c>
      <c r="V4" s="4">
        <v>14.0</v>
      </c>
      <c r="W4" s="4">
        <v>15.0</v>
      </c>
      <c r="X4" s="4">
        <v>16.0</v>
      </c>
      <c r="Y4" s="4">
        <v>17.0</v>
      </c>
      <c r="Z4" s="4">
        <v>18.0</v>
      </c>
      <c r="AA4" s="4">
        <v>19.0</v>
      </c>
      <c r="AB4" s="4">
        <v>20.0</v>
      </c>
      <c r="AC4" s="4">
        <v>21.0</v>
      </c>
    </row>
    <row r="5">
      <c r="G5" s="5" t="s">
        <v>252</v>
      </c>
      <c r="H5" s="15">
        <f t="shared" ref="H5:AC5" si="1">IF(COUNT(H$13:H$42)=0,"",SUM(H$13:H$42))</f>
        <v>58</v>
      </c>
      <c r="I5" s="15" t="str">
        <f t="shared" si="1"/>
        <v/>
      </c>
      <c r="J5" s="15" t="str">
        <f t="shared" si="1"/>
        <v/>
      </c>
      <c r="K5" s="15" t="str">
        <f t="shared" si="1"/>
        <v/>
      </c>
      <c r="L5" s="15" t="str">
        <f t="shared" si="1"/>
        <v/>
      </c>
      <c r="M5" s="15" t="str">
        <f t="shared" si="1"/>
        <v/>
      </c>
      <c r="N5" s="15" t="str">
        <f t="shared" si="1"/>
        <v/>
      </c>
      <c r="O5" s="15" t="str">
        <f t="shared" si="1"/>
        <v/>
      </c>
      <c r="P5" s="15" t="str">
        <f t="shared" si="1"/>
        <v/>
      </c>
      <c r="Q5" s="15" t="str">
        <f t="shared" si="1"/>
        <v/>
      </c>
      <c r="R5" s="15" t="str">
        <f t="shared" si="1"/>
        <v/>
      </c>
      <c r="S5" s="15" t="str">
        <f t="shared" si="1"/>
        <v/>
      </c>
      <c r="T5" s="15" t="str">
        <f t="shared" si="1"/>
        <v/>
      </c>
      <c r="U5" s="15" t="str">
        <f t="shared" si="1"/>
        <v/>
      </c>
      <c r="V5" s="15" t="str">
        <f t="shared" si="1"/>
        <v/>
      </c>
      <c r="W5" s="15" t="str">
        <f t="shared" si="1"/>
        <v/>
      </c>
      <c r="X5" s="15" t="str">
        <f t="shared" si="1"/>
        <v/>
      </c>
      <c r="Y5" s="15" t="str">
        <f t="shared" si="1"/>
        <v/>
      </c>
      <c r="Z5" s="15" t="str">
        <f t="shared" si="1"/>
        <v/>
      </c>
      <c r="AA5" s="15" t="str">
        <f t="shared" si="1"/>
        <v/>
      </c>
      <c r="AB5" s="15" t="str">
        <f t="shared" si="1"/>
        <v/>
      </c>
      <c r="AC5" s="15" t="str">
        <f t="shared" si="1"/>
        <v/>
      </c>
    </row>
    <row r="6">
      <c r="G6" s="5" t="s">
        <v>254</v>
      </c>
      <c r="H6" s="15" t="str">
        <f t="shared" ref="H6:AC6" si="2">IF($H$3=0,"",MAX(0,$F$3-$H$3*H$4))</f>
        <v/>
      </c>
      <c r="I6" s="15" t="str">
        <f t="shared" si="2"/>
        <v/>
      </c>
      <c r="J6" s="15" t="str">
        <f t="shared" si="2"/>
        <v/>
      </c>
      <c r="K6" s="15" t="str">
        <f t="shared" si="2"/>
        <v/>
      </c>
      <c r="L6" s="15" t="str">
        <f t="shared" si="2"/>
        <v/>
      </c>
      <c r="M6" s="15" t="str">
        <f t="shared" si="2"/>
        <v/>
      </c>
      <c r="N6" s="15" t="str">
        <f t="shared" si="2"/>
        <v/>
      </c>
      <c r="O6" s="15" t="str">
        <f t="shared" si="2"/>
        <v/>
      </c>
      <c r="P6" s="15" t="str">
        <f t="shared" si="2"/>
        <v/>
      </c>
      <c r="Q6" s="15" t="str">
        <f t="shared" si="2"/>
        <v/>
      </c>
      <c r="R6" s="15" t="str">
        <f t="shared" si="2"/>
        <v/>
      </c>
      <c r="S6" s="15" t="str">
        <f t="shared" si="2"/>
        <v/>
      </c>
      <c r="T6" s="15" t="str">
        <f t="shared" si="2"/>
        <v/>
      </c>
      <c r="U6" s="15" t="str">
        <f t="shared" si="2"/>
        <v/>
      </c>
      <c r="V6" s="15" t="str">
        <f t="shared" si="2"/>
        <v/>
      </c>
      <c r="W6" s="15" t="str">
        <f t="shared" si="2"/>
        <v/>
      </c>
      <c r="X6" s="15" t="str">
        <f t="shared" si="2"/>
        <v/>
      </c>
      <c r="Y6" s="15" t="str">
        <f t="shared" si="2"/>
        <v/>
      </c>
      <c r="Z6" s="15" t="str">
        <f t="shared" si="2"/>
        <v/>
      </c>
      <c r="AA6" s="15" t="str">
        <f t="shared" si="2"/>
        <v/>
      </c>
      <c r="AB6" s="15" t="str">
        <f t="shared" si="2"/>
        <v/>
      </c>
      <c r="AC6" s="15" t="str">
        <f t="shared" si="2"/>
        <v/>
      </c>
    </row>
    <row r="7">
      <c r="G7" s="5" t="s">
        <v>255</v>
      </c>
      <c r="H7" s="15">
        <f t="shared" ref="H7:AC7" si="3">$F$3-$F$3/$B$3*H$4</f>
        <v>58</v>
      </c>
      <c r="I7" s="15">
        <f t="shared" si="3"/>
        <v>55.23809524</v>
      </c>
      <c r="J7" s="15">
        <f t="shared" si="3"/>
        <v>52.47619048</v>
      </c>
      <c r="K7" s="15">
        <f t="shared" si="3"/>
        <v>49.71428571</v>
      </c>
      <c r="L7" s="15">
        <f t="shared" si="3"/>
        <v>46.95238095</v>
      </c>
      <c r="M7" s="15">
        <f t="shared" si="3"/>
        <v>44.19047619</v>
      </c>
      <c r="N7" s="15">
        <f t="shared" si="3"/>
        <v>41.42857143</v>
      </c>
      <c r="O7" s="15">
        <f t="shared" si="3"/>
        <v>38.66666667</v>
      </c>
      <c r="P7" s="15">
        <f t="shared" si="3"/>
        <v>35.9047619</v>
      </c>
      <c r="Q7" s="15">
        <f t="shared" si="3"/>
        <v>33.14285714</v>
      </c>
      <c r="R7" s="15">
        <f t="shared" si="3"/>
        <v>30.38095238</v>
      </c>
      <c r="S7" s="15">
        <f t="shared" si="3"/>
        <v>27.61904762</v>
      </c>
      <c r="T7" s="15">
        <f t="shared" si="3"/>
        <v>24.85714286</v>
      </c>
      <c r="U7" s="15">
        <f t="shared" si="3"/>
        <v>22.0952381</v>
      </c>
      <c r="V7" s="15">
        <f t="shared" si="3"/>
        <v>19.33333333</v>
      </c>
      <c r="W7" s="15">
        <f t="shared" si="3"/>
        <v>16.57142857</v>
      </c>
      <c r="X7" s="15">
        <f t="shared" si="3"/>
        <v>13.80952381</v>
      </c>
      <c r="Y7" s="15">
        <f t="shared" si="3"/>
        <v>11.04761905</v>
      </c>
      <c r="Z7" s="15">
        <f t="shared" si="3"/>
        <v>8.285714286</v>
      </c>
      <c r="AA7" s="15">
        <f t="shared" si="3"/>
        <v>5.523809524</v>
      </c>
      <c r="AB7" s="15">
        <f t="shared" si="3"/>
        <v>2.761904762</v>
      </c>
      <c r="AC7" s="15">
        <f t="shared" si="3"/>
        <v>0</v>
      </c>
    </row>
    <row r="8">
      <c r="G8" s="5" t="s">
        <v>256</v>
      </c>
      <c r="H8" s="7">
        <f t="shared" ref="H8:AC8" si="4">IF(COUNT(H$13:H$42)=0,"",COUNTIF(H$13:H$42,"&gt;0"))</f>
        <v>17</v>
      </c>
      <c r="I8" s="7" t="str">
        <f t="shared" si="4"/>
        <v/>
      </c>
      <c r="J8" s="7" t="str">
        <f t="shared" si="4"/>
        <v/>
      </c>
      <c r="K8" s="7" t="str">
        <f t="shared" si="4"/>
        <v/>
      </c>
      <c r="L8" s="7" t="str">
        <f t="shared" si="4"/>
        <v/>
      </c>
      <c r="M8" s="7" t="str">
        <f t="shared" si="4"/>
        <v/>
      </c>
      <c r="N8" s="7" t="str">
        <f t="shared" si="4"/>
        <v/>
      </c>
      <c r="O8" s="7" t="str">
        <f t="shared" si="4"/>
        <v/>
      </c>
      <c r="P8" s="7" t="str">
        <f t="shared" si="4"/>
        <v/>
      </c>
      <c r="Q8" s="7" t="str">
        <f t="shared" si="4"/>
        <v/>
      </c>
      <c r="R8" s="7" t="str">
        <f t="shared" si="4"/>
        <v/>
      </c>
      <c r="S8" s="7" t="str">
        <f t="shared" si="4"/>
        <v/>
      </c>
      <c r="T8" s="7" t="str">
        <f t="shared" si="4"/>
        <v/>
      </c>
      <c r="U8" s="7" t="str">
        <f t="shared" si="4"/>
        <v/>
      </c>
      <c r="V8" s="7" t="str">
        <f t="shared" si="4"/>
        <v/>
      </c>
      <c r="W8" s="7" t="str">
        <f t="shared" si="4"/>
        <v/>
      </c>
      <c r="X8" s="7" t="str">
        <f t="shared" si="4"/>
        <v/>
      </c>
      <c r="Y8" s="7" t="str">
        <f t="shared" si="4"/>
        <v/>
      </c>
      <c r="Z8" s="7" t="str">
        <f t="shared" si="4"/>
        <v/>
      </c>
      <c r="AA8" s="7" t="str">
        <f t="shared" si="4"/>
        <v/>
      </c>
      <c r="AB8" s="7" t="str">
        <f t="shared" si="4"/>
        <v/>
      </c>
      <c r="AC8" s="7" t="str">
        <f t="shared" si="4"/>
        <v/>
      </c>
    </row>
    <row r="9">
      <c r="G9" s="5" t="s">
        <v>257</v>
      </c>
      <c r="H9" s="15">
        <f t="shared" ref="H9:AC9" si="5">$D$3-$D$3/$B$3*H$4</f>
        <v>17</v>
      </c>
      <c r="I9" s="15">
        <f t="shared" si="5"/>
        <v>16.19047619</v>
      </c>
      <c r="J9" s="15">
        <f t="shared" si="5"/>
        <v>15.38095238</v>
      </c>
      <c r="K9" s="15">
        <f t="shared" si="5"/>
        <v>14.57142857</v>
      </c>
      <c r="L9" s="15">
        <f t="shared" si="5"/>
        <v>13.76190476</v>
      </c>
      <c r="M9" s="15">
        <f t="shared" si="5"/>
        <v>12.95238095</v>
      </c>
      <c r="N9" s="15">
        <f t="shared" si="5"/>
        <v>12.14285714</v>
      </c>
      <c r="O9" s="15">
        <f t="shared" si="5"/>
        <v>11.33333333</v>
      </c>
      <c r="P9" s="15">
        <f t="shared" si="5"/>
        <v>10.52380952</v>
      </c>
      <c r="Q9" s="15">
        <f t="shared" si="5"/>
        <v>9.714285714</v>
      </c>
      <c r="R9" s="15">
        <f t="shared" si="5"/>
        <v>8.904761905</v>
      </c>
      <c r="S9" s="15">
        <f t="shared" si="5"/>
        <v>8.095238095</v>
      </c>
      <c r="T9" s="15">
        <f t="shared" si="5"/>
        <v>7.285714286</v>
      </c>
      <c r="U9" s="15">
        <f t="shared" si="5"/>
        <v>6.476190476</v>
      </c>
      <c r="V9" s="15">
        <f t="shared" si="5"/>
        <v>5.666666667</v>
      </c>
      <c r="W9" s="15">
        <f t="shared" si="5"/>
        <v>4.857142857</v>
      </c>
      <c r="X9" s="15">
        <f t="shared" si="5"/>
        <v>4.047619048</v>
      </c>
      <c r="Y9" s="15">
        <f t="shared" si="5"/>
        <v>3.238095238</v>
      </c>
      <c r="Z9" s="15">
        <f t="shared" si="5"/>
        <v>2.428571429</v>
      </c>
      <c r="AA9" s="15">
        <f t="shared" si="5"/>
        <v>1.619047619</v>
      </c>
      <c r="AB9" s="15">
        <f t="shared" si="5"/>
        <v>0.8095238095</v>
      </c>
      <c r="AC9" s="15">
        <f t="shared" si="5"/>
        <v>0</v>
      </c>
    </row>
    <row r="10">
      <c r="G10" s="5" t="s">
        <v>258</v>
      </c>
      <c r="H10" s="16">
        <f t="shared" ref="H10:AC10" si="6">$J$3+H$4</f>
        <v>46284</v>
      </c>
      <c r="I10" s="16">
        <f t="shared" si="6"/>
        <v>46285</v>
      </c>
      <c r="J10" s="16">
        <f t="shared" si="6"/>
        <v>46286</v>
      </c>
      <c r="K10" s="16">
        <f t="shared" si="6"/>
        <v>46287</v>
      </c>
      <c r="L10" s="16">
        <f t="shared" si="6"/>
        <v>46288</v>
      </c>
      <c r="M10" s="16">
        <f t="shared" si="6"/>
        <v>46289</v>
      </c>
      <c r="N10" s="16">
        <f t="shared" si="6"/>
        <v>46290</v>
      </c>
      <c r="O10" s="16">
        <f t="shared" si="6"/>
        <v>46291</v>
      </c>
      <c r="P10" s="16">
        <f t="shared" si="6"/>
        <v>46292</v>
      </c>
      <c r="Q10" s="16">
        <f t="shared" si="6"/>
        <v>46293</v>
      </c>
      <c r="R10" s="16">
        <f t="shared" si="6"/>
        <v>46294</v>
      </c>
      <c r="S10" s="16">
        <f t="shared" si="6"/>
        <v>46295</v>
      </c>
      <c r="T10" s="16">
        <f t="shared" si="6"/>
        <v>46296</v>
      </c>
      <c r="U10" s="16">
        <f t="shared" si="6"/>
        <v>46297</v>
      </c>
      <c r="V10" s="16">
        <f t="shared" si="6"/>
        <v>46298</v>
      </c>
      <c r="W10" s="16">
        <f t="shared" si="6"/>
        <v>46299</v>
      </c>
      <c r="X10" s="16">
        <f t="shared" si="6"/>
        <v>46300</v>
      </c>
      <c r="Y10" s="16">
        <f t="shared" si="6"/>
        <v>46301</v>
      </c>
      <c r="Z10" s="16">
        <f t="shared" si="6"/>
        <v>46302</v>
      </c>
      <c r="AA10" s="16">
        <f t="shared" si="6"/>
        <v>46303</v>
      </c>
      <c r="AB10" s="16">
        <f t="shared" si="6"/>
        <v>46304</v>
      </c>
      <c r="AC10" s="16">
        <f t="shared" si="6"/>
        <v>46305</v>
      </c>
    </row>
    <row r="12">
      <c r="A12" s="4" t="s">
        <v>259</v>
      </c>
      <c r="B12" s="4" t="s">
        <v>163</v>
      </c>
      <c r="C12" s="4" t="s">
        <v>8</v>
      </c>
      <c r="D12" s="4" t="s">
        <v>260</v>
      </c>
      <c r="E12" s="4" t="s">
        <v>261</v>
      </c>
      <c r="F12" s="4" t="s">
        <v>15</v>
      </c>
      <c r="G12" s="4" t="s">
        <v>262</v>
      </c>
      <c r="H12" s="4">
        <v>0.0</v>
      </c>
      <c r="I12" s="4">
        <v>1.0</v>
      </c>
      <c r="J12" s="4">
        <v>2.0</v>
      </c>
      <c r="K12" s="4">
        <v>3.0</v>
      </c>
      <c r="L12" s="4">
        <v>4.0</v>
      </c>
      <c r="M12" s="4">
        <v>5.0</v>
      </c>
      <c r="N12" s="4">
        <v>6.0</v>
      </c>
      <c r="O12" s="4">
        <v>7.0</v>
      </c>
      <c r="P12" s="4">
        <v>8.0</v>
      </c>
      <c r="Q12" s="4">
        <v>9.0</v>
      </c>
      <c r="R12" s="4">
        <v>10.0</v>
      </c>
      <c r="S12" s="4">
        <v>11.0</v>
      </c>
      <c r="T12" s="4">
        <v>12.0</v>
      </c>
      <c r="U12" s="4">
        <v>13.0</v>
      </c>
      <c r="V12" s="4">
        <v>14.0</v>
      </c>
      <c r="W12" s="4">
        <v>15.0</v>
      </c>
      <c r="X12" s="4">
        <v>16.0</v>
      </c>
      <c r="Y12" s="4">
        <v>17.0</v>
      </c>
      <c r="Z12" s="4">
        <v>18.0</v>
      </c>
      <c r="AA12" s="4">
        <v>19.0</v>
      </c>
      <c r="AB12" s="4">
        <v>20.0</v>
      </c>
      <c r="AC12" s="4">
        <v>21.0</v>
      </c>
    </row>
    <row r="13">
      <c r="A13" s="6" t="s">
        <v>263</v>
      </c>
      <c r="B13" s="7" t="s">
        <v>167</v>
      </c>
      <c r="C13" s="7" t="s">
        <v>29</v>
      </c>
      <c r="D13" s="6" t="s">
        <v>264</v>
      </c>
      <c r="E13" s="6" t="s">
        <v>265</v>
      </c>
      <c r="F13" s="7" t="s">
        <v>35</v>
      </c>
      <c r="G13" s="7">
        <v>2.0</v>
      </c>
      <c r="H13" s="7">
        <f t="shared" ref="H13:H29" si="7">G13</f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6" t="s">
        <v>266</v>
      </c>
      <c r="B14" s="7" t="s">
        <v>167</v>
      </c>
      <c r="C14" s="7" t="s">
        <v>29</v>
      </c>
      <c r="D14" s="6" t="s">
        <v>264</v>
      </c>
      <c r="E14" s="6" t="s">
        <v>267</v>
      </c>
      <c r="F14" s="7" t="s">
        <v>35</v>
      </c>
      <c r="G14" s="7">
        <v>3.0</v>
      </c>
      <c r="H14" s="7">
        <f t="shared" si="7"/>
        <v>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6" t="s">
        <v>268</v>
      </c>
      <c r="B15" s="7" t="s">
        <v>171</v>
      </c>
      <c r="C15" s="7" t="s">
        <v>37</v>
      </c>
      <c r="D15" s="6" t="s">
        <v>264</v>
      </c>
      <c r="E15" s="6" t="s">
        <v>265</v>
      </c>
      <c r="F15" s="7" t="s">
        <v>35</v>
      </c>
      <c r="G15" s="7">
        <v>2.0</v>
      </c>
      <c r="H15" s="7">
        <f t="shared" si="7"/>
        <v>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6" t="s">
        <v>269</v>
      </c>
      <c r="B16" s="7" t="s">
        <v>171</v>
      </c>
      <c r="C16" s="7" t="s">
        <v>37</v>
      </c>
      <c r="D16" s="6" t="s">
        <v>264</v>
      </c>
      <c r="E16" s="6" t="s">
        <v>265</v>
      </c>
      <c r="F16" s="7" t="s">
        <v>35</v>
      </c>
      <c r="G16" s="7">
        <v>5.0</v>
      </c>
      <c r="H16" s="7">
        <f t="shared" si="7"/>
        <v>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6" t="s">
        <v>270</v>
      </c>
      <c r="B17" s="7" t="s">
        <v>171</v>
      </c>
      <c r="C17" s="7" t="s">
        <v>37</v>
      </c>
      <c r="D17" s="6" t="s">
        <v>264</v>
      </c>
      <c r="E17" s="6" t="s">
        <v>265</v>
      </c>
      <c r="F17" s="7" t="s">
        <v>35</v>
      </c>
      <c r="G17" s="7">
        <v>2.0</v>
      </c>
      <c r="H17" s="7">
        <f t="shared" si="7"/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6" t="s">
        <v>271</v>
      </c>
      <c r="B18" s="7" t="s">
        <v>174</v>
      </c>
      <c r="C18" s="7" t="s">
        <v>41</v>
      </c>
      <c r="D18" s="6" t="s">
        <v>264</v>
      </c>
      <c r="E18" s="6" t="s">
        <v>265</v>
      </c>
      <c r="F18" s="7" t="s">
        <v>35</v>
      </c>
      <c r="G18" s="7">
        <v>2.0</v>
      </c>
      <c r="H18" s="7">
        <f t="shared" si="7"/>
        <v>2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6" t="s">
        <v>272</v>
      </c>
      <c r="B19" s="7" t="s">
        <v>177</v>
      </c>
      <c r="C19" s="7" t="s">
        <v>44</v>
      </c>
      <c r="D19" s="6" t="s">
        <v>264</v>
      </c>
      <c r="E19" s="6" t="s">
        <v>265</v>
      </c>
      <c r="F19" s="7" t="s">
        <v>35</v>
      </c>
      <c r="G19" s="7">
        <v>4.0</v>
      </c>
      <c r="H19" s="7">
        <f t="shared" si="7"/>
        <v>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6" t="s">
        <v>273</v>
      </c>
      <c r="B20" s="7" t="s">
        <v>180</v>
      </c>
      <c r="C20" s="7" t="s">
        <v>47</v>
      </c>
      <c r="D20" s="6" t="s">
        <v>264</v>
      </c>
      <c r="E20" s="6" t="s">
        <v>265</v>
      </c>
      <c r="F20" s="7" t="s">
        <v>35</v>
      </c>
      <c r="G20" s="7">
        <v>5.0</v>
      </c>
      <c r="H20" s="7">
        <f t="shared" si="7"/>
        <v>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6" t="s">
        <v>274</v>
      </c>
      <c r="B21" s="7" t="s">
        <v>180</v>
      </c>
      <c r="C21" s="7" t="s">
        <v>47</v>
      </c>
      <c r="D21" s="6" t="s">
        <v>264</v>
      </c>
      <c r="E21" s="6" t="s">
        <v>275</v>
      </c>
      <c r="F21" s="7" t="s">
        <v>35</v>
      </c>
      <c r="G21" s="7">
        <v>3.0</v>
      </c>
      <c r="H21" s="7">
        <f t="shared" si="7"/>
        <v>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6" t="s">
        <v>276</v>
      </c>
      <c r="B22" s="7" t="s">
        <v>183</v>
      </c>
      <c r="C22" s="7" t="s">
        <v>51</v>
      </c>
      <c r="D22" s="6" t="s">
        <v>264</v>
      </c>
      <c r="E22" s="6" t="s">
        <v>267</v>
      </c>
      <c r="F22" s="7" t="s">
        <v>35</v>
      </c>
      <c r="G22" s="7">
        <v>5.0</v>
      </c>
      <c r="H22" s="7">
        <f t="shared" si="7"/>
        <v>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6" t="s">
        <v>277</v>
      </c>
      <c r="B23" s="7" t="s">
        <v>183</v>
      </c>
      <c r="C23" s="7" t="s">
        <v>51</v>
      </c>
      <c r="D23" s="6" t="s">
        <v>264</v>
      </c>
      <c r="E23" s="6" t="s">
        <v>275</v>
      </c>
      <c r="F23" s="7" t="s">
        <v>35</v>
      </c>
      <c r="G23" s="7">
        <v>3.0</v>
      </c>
      <c r="H23" s="7">
        <f t="shared" si="7"/>
        <v>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6" t="s">
        <v>278</v>
      </c>
      <c r="B24" s="7" t="s">
        <v>186</v>
      </c>
      <c r="C24" s="7" t="s">
        <v>55</v>
      </c>
      <c r="D24" s="6" t="s">
        <v>264</v>
      </c>
      <c r="E24" s="6" t="s">
        <v>265</v>
      </c>
      <c r="F24" s="7" t="s">
        <v>35</v>
      </c>
      <c r="G24" s="7">
        <v>4.0</v>
      </c>
      <c r="H24" s="7">
        <f t="shared" si="7"/>
        <v>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6" t="s">
        <v>279</v>
      </c>
      <c r="B25" s="7" t="s">
        <v>189</v>
      </c>
      <c r="C25" s="7" t="s">
        <v>61</v>
      </c>
      <c r="D25" s="6" t="s">
        <v>264</v>
      </c>
      <c r="E25" s="6" t="s">
        <v>265</v>
      </c>
      <c r="F25" s="7" t="s">
        <v>35</v>
      </c>
      <c r="G25" s="7">
        <v>5.0</v>
      </c>
      <c r="H25" s="7">
        <f t="shared" si="7"/>
        <v>5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6" t="s">
        <v>284</v>
      </c>
      <c r="B26" s="7" t="s">
        <v>189</v>
      </c>
      <c r="C26" s="7" t="s">
        <v>61</v>
      </c>
      <c r="D26" s="6" t="s">
        <v>264</v>
      </c>
      <c r="E26" s="6" t="s">
        <v>265</v>
      </c>
      <c r="F26" s="7" t="s">
        <v>35</v>
      </c>
      <c r="G26" s="7">
        <v>3.0</v>
      </c>
      <c r="H26" s="7">
        <f t="shared" si="7"/>
        <v>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6" t="s">
        <v>285</v>
      </c>
      <c r="B27" s="7" t="s">
        <v>192</v>
      </c>
      <c r="C27" s="7" t="s">
        <v>66</v>
      </c>
      <c r="D27" s="6" t="s">
        <v>264</v>
      </c>
      <c r="E27" s="6" t="s">
        <v>265</v>
      </c>
      <c r="F27" s="7" t="s">
        <v>35</v>
      </c>
      <c r="G27" s="7">
        <v>3.0</v>
      </c>
      <c r="H27" s="7">
        <f t="shared" si="7"/>
        <v>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6" t="s">
        <v>286</v>
      </c>
      <c r="B28" s="7" t="s">
        <v>195</v>
      </c>
      <c r="C28" s="7" t="s">
        <v>70</v>
      </c>
      <c r="D28" s="6" t="s">
        <v>264</v>
      </c>
      <c r="E28" s="6" t="s">
        <v>265</v>
      </c>
      <c r="F28" s="7" t="s">
        <v>35</v>
      </c>
      <c r="G28" s="7">
        <v>4.0</v>
      </c>
      <c r="H28" s="7">
        <f t="shared" si="7"/>
        <v>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6" t="s">
        <v>287</v>
      </c>
      <c r="B29" s="7" t="s">
        <v>288</v>
      </c>
      <c r="C29" s="7" t="s">
        <v>288</v>
      </c>
      <c r="D29" s="6" t="s">
        <v>264</v>
      </c>
      <c r="E29" s="6" t="s">
        <v>289</v>
      </c>
      <c r="F29" s="7" t="s">
        <v>35</v>
      </c>
      <c r="G29" s="7">
        <v>3.0</v>
      </c>
      <c r="H29" s="7">
        <f t="shared" si="7"/>
        <v>3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F30" s="13"/>
    </row>
    <row r="31" ht="15.75" customHeight="1">
      <c r="F31" s="13"/>
    </row>
    <row r="32" ht="15.75" customHeight="1">
      <c r="F32" s="13"/>
    </row>
    <row r="33" ht="15.75" customHeight="1">
      <c r="F33" s="13"/>
    </row>
    <row r="34" ht="15.75" customHeight="1">
      <c r="F34" s="13"/>
    </row>
    <row r="35" ht="15.75" customHeight="1">
      <c r="F35" s="13"/>
    </row>
    <row r="36" ht="15.75" customHeight="1">
      <c r="F36" s="13"/>
    </row>
    <row r="37" ht="15.75" customHeight="1">
      <c r="F37" s="13"/>
    </row>
    <row r="38" ht="15.75" customHeight="1">
      <c r="F38" s="13"/>
    </row>
    <row r="39" ht="15.75" customHeight="1">
      <c r="F39" s="13"/>
    </row>
    <row r="40" ht="15.75" customHeight="1">
      <c r="F40" s="13"/>
    </row>
    <row r="41" ht="15.75" customHeight="1">
      <c r="F41" s="13"/>
    </row>
    <row r="42" ht="15.75" customHeight="1">
      <c r="F42" s="13"/>
    </row>
    <row r="43" ht="15.75" customHeight="1"/>
    <row r="44" ht="15.75" customHeight="1">
      <c r="A44" s="2" t="s">
        <v>290</v>
      </c>
    </row>
    <row r="45" ht="15.75" hidden="1" customHeight="1">
      <c r="G45" s="17" t="s">
        <v>252</v>
      </c>
      <c r="H45" s="18">
        <f t="shared" ref="H45:AC45" si="8">IF(H5="",NA(),H5)</f>
        <v>58</v>
      </c>
      <c r="I45" s="17" t="str">
        <f t="shared" si="8"/>
        <v>#N/A</v>
      </c>
      <c r="J45" s="17" t="str">
        <f t="shared" si="8"/>
        <v>#N/A</v>
      </c>
      <c r="K45" s="17" t="str">
        <f t="shared" si="8"/>
        <v>#N/A</v>
      </c>
      <c r="L45" s="17" t="str">
        <f t="shared" si="8"/>
        <v>#N/A</v>
      </c>
      <c r="M45" s="17" t="str">
        <f t="shared" si="8"/>
        <v>#N/A</v>
      </c>
      <c r="N45" s="17" t="str">
        <f t="shared" si="8"/>
        <v>#N/A</v>
      </c>
      <c r="O45" s="17" t="str">
        <f t="shared" si="8"/>
        <v>#N/A</v>
      </c>
      <c r="P45" s="17" t="str">
        <f t="shared" si="8"/>
        <v>#N/A</v>
      </c>
      <c r="Q45" s="17" t="str">
        <f t="shared" si="8"/>
        <v>#N/A</v>
      </c>
      <c r="R45" s="17" t="str">
        <f t="shared" si="8"/>
        <v>#N/A</v>
      </c>
      <c r="S45" s="17" t="str">
        <f t="shared" si="8"/>
        <v>#N/A</v>
      </c>
      <c r="T45" s="17" t="str">
        <f t="shared" si="8"/>
        <v>#N/A</v>
      </c>
      <c r="U45" s="17" t="str">
        <f t="shared" si="8"/>
        <v>#N/A</v>
      </c>
      <c r="V45" s="17" t="str">
        <f t="shared" si="8"/>
        <v>#N/A</v>
      </c>
      <c r="W45" s="17" t="str">
        <f t="shared" si="8"/>
        <v>#N/A</v>
      </c>
      <c r="X45" s="17" t="str">
        <f t="shared" si="8"/>
        <v>#N/A</v>
      </c>
      <c r="Y45" s="17" t="str">
        <f t="shared" si="8"/>
        <v>#N/A</v>
      </c>
      <c r="Z45" s="17" t="str">
        <f t="shared" si="8"/>
        <v>#N/A</v>
      </c>
      <c r="AA45" s="17" t="str">
        <f t="shared" si="8"/>
        <v>#N/A</v>
      </c>
      <c r="AB45" s="17" t="str">
        <f t="shared" si="8"/>
        <v>#N/A</v>
      </c>
      <c r="AC45" s="17" t="str">
        <f t="shared" si="8"/>
        <v>#N/A</v>
      </c>
    </row>
    <row r="46" ht="15.75" hidden="1" customHeight="1">
      <c r="G46" s="17" t="s">
        <v>254</v>
      </c>
      <c r="H46" s="17" t="str">
        <f t="shared" ref="H46:AC46" si="9">IF(H6="",NA(),H6)</f>
        <v>#N/A</v>
      </c>
      <c r="I46" s="17" t="str">
        <f t="shared" si="9"/>
        <v>#N/A</v>
      </c>
      <c r="J46" s="17" t="str">
        <f t="shared" si="9"/>
        <v>#N/A</v>
      </c>
      <c r="K46" s="17" t="str">
        <f t="shared" si="9"/>
        <v>#N/A</v>
      </c>
      <c r="L46" s="17" t="str">
        <f t="shared" si="9"/>
        <v>#N/A</v>
      </c>
      <c r="M46" s="17" t="str">
        <f t="shared" si="9"/>
        <v>#N/A</v>
      </c>
      <c r="N46" s="17" t="str">
        <f t="shared" si="9"/>
        <v>#N/A</v>
      </c>
      <c r="O46" s="17" t="str">
        <f t="shared" si="9"/>
        <v>#N/A</v>
      </c>
      <c r="P46" s="17" t="str">
        <f t="shared" si="9"/>
        <v>#N/A</v>
      </c>
      <c r="Q46" s="17" t="str">
        <f t="shared" si="9"/>
        <v>#N/A</v>
      </c>
      <c r="R46" s="17" t="str">
        <f t="shared" si="9"/>
        <v>#N/A</v>
      </c>
      <c r="S46" s="17" t="str">
        <f t="shared" si="9"/>
        <v>#N/A</v>
      </c>
      <c r="T46" s="17" t="str">
        <f t="shared" si="9"/>
        <v>#N/A</v>
      </c>
      <c r="U46" s="17" t="str">
        <f t="shared" si="9"/>
        <v>#N/A</v>
      </c>
      <c r="V46" s="17" t="str">
        <f t="shared" si="9"/>
        <v>#N/A</v>
      </c>
      <c r="W46" s="17" t="str">
        <f t="shared" si="9"/>
        <v>#N/A</v>
      </c>
      <c r="X46" s="17" t="str">
        <f t="shared" si="9"/>
        <v>#N/A</v>
      </c>
      <c r="Y46" s="17" t="str">
        <f t="shared" si="9"/>
        <v>#N/A</v>
      </c>
      <c r="Z46" s="17" t="str">
        <f t="shared" si="9"/>
        <v>#N/A</v>
      </c>
      <c r="AA46" s="17" t="str">
        <f t="shared" si="9"/>
        <v>#N/A</v>
      </c>
      <c r="AB46" s="17" t="str">
        <f t="shared" si="9"/>
        <v>#N/A</v>
      </c>
      <c r="AC46" s="17" t="str">
        <f t="shared" si="9"/>
        <v>#N/A</v>
      </c>
    </row>
    <row r="47" ht="15.75" hidden="1" customHeight="1">
      <c r="G47" s="17" t="s">
        <v>255</v>
      </c>
      <c r="H47" s="18">
        <f t="shared" ref="H47:AC47" si="10">H7</f>
        <v>58</v>
      </c>
      <c r="I47" s="18">
        <f t="shared" si="10"/>
        <v>55.23809524</v>
      </c>
      <c r="J47" s="18">
        <f t="shared" si="10"/>
        <v>52.47619048</v>
      </c>
      <c r="K47" s="18">
        <f t="shared" si="10"/>
        <v>49.71428571</v>
      </c>
      <c r="L47" s="18">
        <f t="shared" si="10"/>
        <v>46.95238095</v>
      </c>
      <c r="M47" s="18">
        <f t="shared" si="10"/>
        <v>44.19047619</v>
      </c>
      <c r="N47" s="18">
        <f t="shared" si="10"/>
        <v>41.42857143</v>
      </c>
      <c r="O47" s="18">
        <f t="shared" si="10"/>
        <v>38.66666667</v>
      </c>
      <c r="P47" s="18">
        <f t="shared" si="10"/>
        <v>35.9047619</v>
      </c>
      <c r="Q47" s="18">
        <f t="shared" si="10"/>
        <v>33.14285714</v>
      </c>
      <c r="R47" s="18">
        <f t="shared" si="10"/>
        <v>30.38095238</v>
      </c>
      <c r="S47" s="18">
        <f t="shared" si="10"/>
        <v>27.61904762</v>
      </c>
      <c r="T47" s="18">
        <f t="shared" si="10"/>
        <v>24.85714286</v>
      </c>
      <c r="U47" s="18">
        <f t="shared" si="10"/>
        <v>22.0952381</v>
      </c>
      <c r="V47" s="18">
        <f t="shared" si="10"/>
        <v>19.33333333</v>
      </c>
      <c r="W47" s="18">
        <f t="shared" si="10"/>
        <v>16.57142857</v>
      </c>
      <c r="X47" s="18">
        <f t="shared" si="10"/>
        <v>13.80952381</v>
      </c>
      <c r="Y47" s="18">
        <f t="shared" si="10"/>
        <v>11.04761905</v>
      </c>
      <c r="Z47" s="18">
        <f t="shared" si="10"/>
        <v>8.285714286</v>
      </c>
      <c r="AA47" s="18">
        <f t="shared" si="10"/>
        <v>5.523809524</v>
      </c>
      <c r="AB47" s="18">
        <f t="shared" si="10"/>
        <v>2.761904762</v>
      </c>
      <c r="AC47" s="18">
        <f t="shared" si="10"/>
        <v>0</v>
      </c>
    </row>
    <row r="48" ht="15.75" hidden="1" customHeight="1">
      <c r="G48" s="17" t="s">
        <v>256</v>
      </c>
      <c r="H48" s="17">
        <f t="shared" ref="H48:AC48" si="11">IF(H8="",NA(),H8)</f>
        <v>17</v>
      </c>
      <c r="I48" s="17" t="str">
        <f t="shared" si="11"/>
        <v>#N/A</v>
      </c>
      <c r="J48" s="17" t="str">
        <f t="shared" si="11"/>
        <v>#N/A</v>
      </c>
      <c r="K48" s="17" t="str">
        <f t="shared" si="11"/>
        <v>#N/A</v>
      </c>
      <c r="L48" s="17" t="str">
        <f t="shared" si="11"/>
        <v>#N/A</v>
      </c>
      <c r="M48" s="17" t="str">
        <f t="shared" si="11"/>
        <v>#N/A</v>
      </c>
      <c r="N48" s="17" t="str">
        <f t="shared" si="11"/>
        <v>#N/A</v>
      </c>
      <c r="O48" s="17" t="str">
        <f t="shared" si="11"/>
        <v>#N/A</v>
      </c>
      <c r="P48" s="17" t="str">
        <f t="shared" si="11"/>
        <v>#N/A</v>
      </c>
      <c r="Q48" s="17" t="str">
        <f t="shared" si="11"/>
        <v>#N/A</v>
      </c>
      <c r="R48" s="17" t="str">
        <f t="shared" si="11"/>
        <v>#N/A</v>
      </c>
      <c r="S48" s="17" t="str">
        <f t="shared" si="11"/>
        <v>#N/A</v>
      </c>
      <c r="T48" s="17" t="str">
        <f t="shared" si="11"/>
        <v>#N/A</v>
      </c>
      <c r="U48" s="17" t="str">
        <f t="shared" si="11"/>
        <v>#N/A</v>
      </c>
      <c r="V48" s="17" t="str">
        <f t="shared" si="11"/>
        <v>#N/A</v>
      </c>
      <c r="W48" s="17" t="str">
        <f t="shared" si="11"/>
        <v>#N/A</v>
      </c>
      <c r="X48" s="17" t="str">
        <f t="shared" si="11"/>
        <v>#N/A</v>
      </c>
      <c r="Y48" s="17" t="str">
        <f t="shared" si="11"/>
        <v>#N/A</v>
      </c>
      <c r="Z48" s="17" t="str">
        <f t="shared" si="11"/>
        <v>#N/A</v>
      </c>
      <c r="AA48" s="17" t="str">
        <f t="shared" si="11"/>
        <v>#N/A</v>
      </c>
      <c r="AB48" s="17" t="str">
        <f t="shared" si="11"/>
        <v>#N/A</v>
      </c>
      <c r="AC48" s="17" t="str">
        <f t="shared" si="11"/>
        <v>#N/A</v>
      </c>
    </row>
    <row r="49" ht="15.75" hidden="1" customHeight="1">
      <c r="G49" s="17" t="s">
        <v>257</v>
      </c>
      <c r="H49" s="18">
        <f t="shared" ref="H49:AC49" si="12">H9</f>
        <v>17</v>
      </c>
      <c r="I49" s="18">
        <f t="shared" si="12"/>
        <v>16.19047619</v>
      </c>
      <c r="J49" s="18">
        <f t="shared" si="12"/>
        <v>15.38095238</v>
      </c>
      <c r="K49" s="18">
        <f t="shared" si="12"/>
        <v>14.57142857</v>
      </c>
      <c r="L49" s="18">
        <f t="shared" si="12"/>
        <v>13.76190476</v>
      </c>
      <c r="M49" s="18">
        <f t="shared" si="12"/>
        <v>12.95238095</v>
      </c>
      <c r="N49" s="18">
        <f t="shared" si="12"/>
        <v>12.14285714</v>
      </c>
      <c r="O49" s="18">
        <f t="shared" si="12"/>
        <v>11.33333333</v>
      </c>
      <c r="P49" s="18">
        <f t="shared" si="12"/>
        <v>10.52380952</v>
      </c>
      <c r="Q49" s="18">
        <f t="shared" si="12"/>
        <v>9.714285714</v>
      </c>
      <c r="R49" s="18">
        <f t="shared" si="12"/>
        <v>8.904761905</v>
      </c>
      <c r="S49" s="18">
        <f t="shared" si="12"/>
        <v>8.095238095</v>
      </c>
      <c r="T49" s="18">
        <f t="shared" si="12"/>
        <v>7.285714286</v>
      </c>
      <c r="U49" s="18">
        <f t="shared" si="12"/>
        <v>6.476190476</v>
      </c>
      <c r="V49" s="18">
        <f t="shared" si="12"/>
        <v>5.666666667</v>
      </c>
      <c r="W49" s="18">
        <f t="shared" si="12"/>
        <v>4.857142857</v>
      </c>
      <c r="X49" s="18">
        <f t="shared" si="12"/>
        <v>4.047619048</v>
      </c>
      <c r="Y49" s="18">
        <f t="shared" si="12"/>
        <v>3.238095238</v>
      </c>
      <c r="Z49" s="18">
        <f t="shared" si="12"/>
        <v>2.428571429</v>
      </c>
      <c r="AA49" s="18">
        <f t="shared" si="12"/>
        <v>1.619047619</v>
      </c>
      <c r="AB49" s="18">
        <f t="shared" si="12"/>
        <v>0.8095238095</v>
      </c>
      <c r="AC49" s="18">
        <f t="shared" si="12"/>
        <v>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13:F42">
      <formula1>"Planeado,En desarrollo,Terminado"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281</v>
      </c>
    </row>
    <row r="2">
      <c r="A2" s="2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280</v>
      </c>
    </row>
    <row r="2">
      <c r="A2" s="2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2.0" topLeftCell="H13" activePane="bottomRight" state="frozen"/>
      <selection activeCell="H1" sqref="H1" pane="topRight"/>
      <selection activeCell="A13" sqref="A13" pane="bottomLeft"/>
      <selection activeCell="H13" sqref="H13" pane="bottomRight"/>
    </sheetView>
  </sheetViews>
  <sheetFormatPr customHeight="1" defaultColWidth="14.43" defaultRowHeight="15.0"/>
  <cols>
    <col customWidth="1" min="1" max="1" width="50.0"/>
    <col customWidth="1" min="2" max="2" width="8.0"/>
    <col customWidth="1" min="3" max="3" width="10.0"/>
    <col customWidth="1" min="4" max="4" width="24.0"/>
    <col customWidth="1" min="5" max="5" width="22.0"/>
    <col customWidth="1" min="6" max="6" width="13.0"/>
    <col customWidth="1" min="7" max="7" width="18.0"/>
    <col customWidth="1" min="8" max="29" width="6.57"/>
  </cols>
  <sheetData>
    <row r="1">
      <c r="A1" s="1" t="s">
        <v>253</v>
      </c>
    </row>
    <row r="2">
      <c r="A2" s="2" t="s">
        <v>247</v>
      </c>
    </row>
    <row r="3">
      <c r="A3" s="5" t="s">
        <v>10</v>
      </c>
      <c r="B3" s="7">
        <f t="array" ref="B3">INDEX('Sprint Plan'!$C$4:$C$6,2)</f>
        <v>21</v>
      </c>
      <c r="C3" s="5" t="s">
        <v>248</v>
      </c>
      <c r="D3" s="7">
        <f>COUNTA(A13:A42)</f>
        <v>16</v>
      </c>
      <c r="E3" s="5" t="s">
        <v>249</v>
      </c>
      <c r="F3" s="7">
        <f>SUM(G13:G42)</f>
        <v>53</v>
      </c>
      <c r="G3" s="5" t="s">
        <v>250</v>
      </c>
      <c r="H3" s="14">
        <f t="array" ref="H3">IF(COUNT($H$5:$AC$5)&lt;=1,0,($F$3-INDEX($H$5:$AC$5,COUNT($H$5:$AC$5)))/(COUNT($H$5:$AC$5)-1))</f>
        <v>0</v>
      </c>
      <c r="I3" s="5" t="s">
        <v>9</v>
      </c>
      <c r="J3" s="9">
        <f t="array" ref="J3">INDEX('Sprint Plan'!$B$4:$B$6,2)</f>
        <v>46305</v>
      </c>
    </row>
    <row r="4">
      <c r="G4" s="5" t="s">
        <v>251</v>
      </c>
      <c r="H4" s="4">
        <v>0.0</v>
      </c>
      <c r="I4" s="4">
        <v>1.0</v>
      </c>
      <c r="J4" s="4">
        <v>2.0</v>
      </c>
      <c r="K4" s="4">
        <v>3.0</v>
      </c>
      <c r="L4" s="4">
        <v>4.0</v>
      </c>
      <c r="M4" s="4">
        <v>5.0</v>
      </c>
      <c r="N4" s="4">
        <v>6.0</v>
      </c>
      <c r="O4" s="4">
        <v>7.0</v>
      </c>
      <c r="P4" s="4">
        <v>8.0</v>
      </c>
      <c r="Q4" s="4">
        <v>9.0</v>
      </c>
      <c r="R4" s="4">
        <v>10.0</v>
      </c>
      <c r="S4" s="4">
        <v>11.0</v>
      </c>
      <c r="T4" s="4">
        <v>12.0</v>
      </c>
      <c r="U4" s="4">
        <v>13.0</v>
      </c>
      <c r="V4" s="4">
        <v>14.0</v>
      </c>
      <c r="W4" s="4">
        <v>15.0</v>
      </c>
      <c r="X4" s="4">
        <v>16.0</v>
      </c>
      <c r="Y4" s="4">
        <v>17.0</v>
      </c>
      <c r="Z4" s="4">
        <v>18.0</v>
      </c>
      <c r="AA4" s="4">
        <v>19.0</v>
      </c>
      <c r="AB4" s="4">
        <v>20.0</v>
      </c>
      <c r="AC4" s="4">
        <v>21.0</v>
      </c>
    </row>
    <row r="5">
      <c r="G5" s="5" t="s">
        <v>252</v>
      </c>
      <c r="H5" s="15">
        <f t="shared" ref="H5:AC5" si="1">IF(COUNT(H$13:H$42)=0,"",SUM(H$13:H$42))</f>
        <v>53</v>
      </c>
      <c r="I5" s="15" t="str">
        <f t="shared" si="1"/>
        <v/>
      </c>
      <c r="J5" s="15" t="str">
        <f t="shared" si="1"/>
        <v/>
      </c>
      <c r="K5" s="15" t="str">
        <f t="shared" si="1"/>
        <v/>
      </c>
      <c r="L5" s="15" t="str">
        <f t="shared" si="1"/>
        <v/>
      </c>
      <c r="M5" s="15" t="str">
        <f t="shared" si="1"/>
        <v/>
      </c>
      <c r="N5" s="15" t="str">
        <f t="shared" si="1"/>
        <v/>
      </c>
      <c r="O5" s="15" t="str">
        <f t="shared" si="1"/>
        <v/>
      </c>
      <c r="P5" s="15" t="str">
        <f t="shared" si="1"/>
        <v/>
      </c>
      <c r="Q5" s="15" t="str">
        <f t="shared" si="1"/>
        <v/>
      </c>
      <c r="R5" s="15" t="str">
        <f t="shared" si="1"/>
        <v/>
      </c>
      <c r="S5" s="15" t="str">
        <f t="shared" si="1"/>
        <v/>
      </c>
      <c r="T5" s="15" t="str">
        <f t="shared" si="1"/>
        <v/>
      </c>
      <c r="U5" s="15" t="str">
        <f t="shared" si="1"/>
        <v/>
      </c>
      <c r="V5" s="15" t="str">
        <f t="shared" si="1"/>
        <v/>
      </c>
      <c r="W5" s="15" t="str">
        <f t="shared" si="1"/>
        <v/>
      </c>
      <c r="X5" s="15" t="str">
        <f t="shared" si="1"/>
        <v/>
      </c>
      <c r="Y5" s="15" t="str">
        <f t="shared" si="1"/>
        <v/>
      </c>
      <c r="Z5" s="15" t="str">
        <f t="shared" si="1"/>
        <v/>
      </c>
      <c r="AA5" s="15" t="str">
        <f t="shared" si="1"/>
        <v/>
      </c>
      <c r="AB5" s="15" t="str">
        <f t="shared" si="1"/>
        <v/>
      </c>
      <c r="AC5" s="15" t="str">
        <f t="shared" si="1"/>
        <v/>
      </c>
    </row>
    <row r="6">
      <c r="G6" s="5" t="s">
        <v>254</v>
      </c>
      <c r="H6" s="15" t="str">
        <f t="shared" ref="H6:AC6" si="2">IF($H$3=0,"",MAX(0,$F$3-$H$3*H$4))</f>
        <v/>
      </c>
      <c r="I6" s="15" t="str">
        <f t="shared" si="2"/>
        <v/>
      </c>
      <c r="J6" s="15" t="str">
        <f t="shared" si="2"/>
        <v/>
      </c>
      <c r="K6" s="15" t="str">
        <f t="shared" si="2"/>
        <v/>
      </c>
      <c r="L6" s="15" t="str">
        <f t="shared" si="2"/>
        <v/>
      </c>
      <c r="M6" s="15" t="str">
        <f t="shared" si="2"/>
        <v/>
      </c>
      <c r="N6" s="15" t="str">
        <f t="shared" si="2"/>
        <v/>
      </c>
      <c r="O6" s="15" t="str">
        <f t="shared" si="2"/>
        <v/>
      </c>
      <c r="P6" s="15" t="str">
        <f t="shared" si="2"/>
        <v/>
      </c>
      <c r="Q6" s="15" t="str">
        <f t="shared" si="2"/>
        <v/>
      </c>
      <c r="R6" s="15" t="str">
        <f t="shared" si="2"/>
        <v/>
      </c>
      <c r="S6" s="15" t="str">
        <f t="shared" si="2"/>
        <v/>
      </c>
      <c r="T6" s="15" t="str">
        <f t="shared" si="2"/>
        <v/>
      </c>
      <c r="U6" s="15" t="str">
        <f t="shared" si="2"/>
        <v/>
      </c>
      <c r="V6" s="15" t="str">
        <f t="shared" si="2"/>
        <v/>
      </c>
      <c r="W6" s="15" t="str">
        <f t="shared" si="2"/>
        <v/>
      </c>
      <c r="X6" s="15" t="str">
        <f t="shared" si="2"/>
        <v/>
      </c>
      <c r="Y6" s="15" t="str">
        <f t="shared" si="2"/>
        <v/>
      </c>
      <c r="Z6" s="15" t="str">
        <f t="shared" si="2"/>
        <v/>
      </c>
      <c r="AA6" s="15" t="str">
        <f t="shared" si="2"/>
        <v/>
      </c>
      <c r="AB6" s="15" t="str">
        <f t="shared" si="2"/>
        <v/>
      </c>
      <c r="AC6" s="15" t="str">
        <f t="shared" si="2"/>
        <v/>
      </c>
    </row>
    <row r="7">
      <c r="G7" s="5" t="s">
        <v>255</v>
      </c>
      <c r="H7" s="15">
        <f t="shared" ref="H7:AC7" si="3">$F$3-$F$3/$B$3*H$4</f>
        <v>53</v>
      </c>
      <c r="I7" s="15">
        <f t="shared" si="3"/>
        <v>50.47619048</v>
      </c>
      <c r="J7" s="15">
        <f t="shared" si="3"/>
        <v>47.95238095</v>
      </c>
      <c r="K7" s="15">
        <f t="shared" si="3"/>
        <v>45.42857143</v>
      </c>
      <c r="L7" s="15">
        <f t="shared" si="3"/>
        <v>42.9047619</v>
      </c>
      <c r="M7" s="15">
        <f t="shared" si="3"/>
        <v>40.38095238</v>
      </c>
      <c r="N7" s="15">
        <f t="shared" si="3"/>
        <v>37.85714286</v>
      </c>
      <c r="O7" s="15">
        <f t="shared" si="3"/>
        <v>35.33333333</v>
      </c>
      <c r="P7" s="15">
        <f t="shared" si="3"/>
        <v>32.80952381</v>
      </c>
      <c r="Q7" s="15">
        <f t="shared" si="3"/>
        <v>30.28571429</v>
      </c>
      <c r="R7" s="15">
        <f t="shared" si="3"/>
        <v>27.76190476</v>
      </c>
      <c r="S7" s="15">
        <f t="shared" si="3"/>
        <v>25.23809524</v>
      </c>
      <c r="T7" s="15">
        <f t="shared" si="3"/>
        <v>22.71428571</v>
      </c>
      <c r="U7" s="15">
        <f t="shared" si="3"/>
        <v>20.19047619</v>
      </c>
      <c r="V7" s="15">
        <f t="shared" si="3"/>
        <v>17.66666667</v>
      </c>
      <c r="W7" s="15">
        <f t="shared" si="3"/>
        <v>15.14285714</v>
      </c>
      <c r="X7" s="15">
        <f t="shared" si="3"/>
        <v>12.61904762</v>
      </c>
      <c r="Y7" s="15">
        <f t="shared" si="3"/>
        <v>10.0952381</v>
      </c>
      <c r="Z7" s="15">
        <f t="shared" si="3"/>
        <v>7.571428571</v>
      </c>
      <c r="AA7" s="15">
        <f t="shared" si="3"/>
        <v>5.047619048</v>
      </c>
      <c r="AB7" s="15">
        <f t="shared" si="3"/>
        <v>2.523809524</v>
      </c>
      <c r="AC7" s="15">
        <f t="shared" si="3"/>
        <v>0</v>
      </c>
    </row>
    <row r="8">
      <c r="G8" s="5" t="s">
        <v>256</v>
      </c>
      <c r="H8" s="7">
        <f t="shared" ref="H8:AC8" si="4">IF(COUNT(H$13:H$42)=0,"",COUNTIF(H$13:H$42,"&gt;0"))</f>
        <v>16</v>
      </c>
      <c r="I8" s="7" t="str">
        <f t="shared" si="4"/>
        <v/>
      </c>
      <c r="J8" s="7" t="str">
        <f t="shared" si="4"/>
        <v/>
      </c>
      <c r="K8" s="7" t="str">
        <f t="shared" si="4"/>
        <v/>
      </c>
      <c r="L8" s="7" t="str">
        <f t="shared" si="4"/>
        <v/>
      </c>
      <c r="M8" s="7" t="str">
        <f t="shared" si="4"/>
        <v/>
      </c>
      <c r="N8" s="7" t="str">
        <f t="shared" si="4"/>
        <v/>
      </c>
      <c r="O8" s="7" t="str">
        <f t="shared" si="4"/>
        <v/>
      </c>
      <c r="P8" s="7" t="str">
        <f t="shared" si="4"/>
        <v/>
      </c>
      <c r="Q8" s="7" t="str">
        <f t="shared" si="4"/>
        <v/>
      </c>
      <c r="R8" s="7" t="str">
        <f t="shared" si="4"/>
        <v/>
      </c>
      <c r="S8" s="7" t="str">
        <f t="shared" si="4"/>
        <v/>
      </c>
      <c r="T8" s="7" t="str">
        <f t="shared" si="4"/>
        <v/>
      </c>
      <c r="U8" s="7" t="str">
        <f t="shared" si="4"/>
        <v/>
      </c>
      <c r="V8" s="7" t="str">
        <f t="shared" si="4"/>
        <v/>
      </c>
      <c r="W8" s="7" t="str">
        <f t="shared" si="4"/>
        <v/>
      </c>
      <c r="X8" s="7" t="str">
        <f t="shared" si="4"/>
        <v/>
      </c>
      <c r="Y8" s="7" t="str">
        <f t="shared" si="4"/>
        <v/>
      </c>
      <c r="Z8" s="7" t="str">
        <f t="shared" si="4"/>
        <v/>
      </c>
      <c r="AA8" s="7" t="str">
        <f t="shared" si="4"/>
        <v/>
      </c>
      <c r="AB8" s="7" t="str">
        <f t="shared" si="4"/>
        <v/>
      </c>
      <c r="AC8" s="7" t="str">
        <f t="shared" si="4"/>
        <v/>
      </c>
    </row>
    <row r="9">
      <c r="G9" s="5" t="s">
        <v>257</v>
      </c>
      <c r="H9" s="15">
        <f t="shared" ref="H9:AC9" si="5">$D$3-$D$3/$B$3*H$4</f>
        <v>16</v>
      </c>
      <c r="I9" s="15">
        <f t="shared" si="5"/>
        <v>15.23809524</v>
      </c>
      <c r="J9" s="15">
        <f t="shared" si="5"/>
        <v>14.47619048</v>
      </c>
      <c r="K9" s="15">
        <f t="shared" si="5"/>
        <v>13.71428571</v>
      </c>
      <c r="L9" s="15">
        <f t="shared" si="5"/>
        <v>12.95238095</v>
      </c>
      <c r="M9" s="15">
        <f t="shared" si="5"/>
        <v>12.19047619</v>
      </c>
      <c r="N9" s="15">
        <f t="shared" si="5"/>
        <v>11.42857143</v>
      </c>
      <c r="O9" s="15">
        <f t="shared" si="5"/>
        <v>10.66666667</v>
      </c>
      <c r="P9" s="15">
        <f t="shared" si="5"/>
        <v>9.904761905</v>
      </c>
      <c r="Q9" s="15">
        <f t="shared" si="5"/>
        <v>9.142857143</v>
      </c>
      <c r="R9" s="15">
        <f t="shared" si="5"/>
        <v>8.380952381</v>
      </c>
      <c r="S9" s="15">
        <f t="shared" si="5"/>
        <v>7.619047619</v>
      </c>
      <c r="T9" s="15">
        <f t="shared" si="5"/>
        <v>6.857142857</v>
      </c>
      <c r="U9" s="15">
        <f t="shared" si="5"/>
        <v>6.095238095</v>
      </c>
      <c r="V9" s="15">
        <f t="shared" si="5"/>
        <v>5.333333333</v>
      </c>
      <c r="W9" s="15">
        <f t="shared" si="5"/>
        <v>4.571428571</v>
      </c>
      <c r="X9" s="15">
        <f t="shared" si="5"/>
        <v>3.80952381</v>
      </c>
      <c r="Y9" s="15">
        <f t="shared" si="5"/>
        <v>3.047619048</v>
      </c>
      <c r="Z9" s="15">
        <f t="shared" si="5"/>
        <v>2.285714286</v>
      </c>
      <c r="AA9" s="15">
        <f t="shared" si="5"/>
        <v>1.523809524</v>
      </c>
      <c r="AB9" s="15">
        <f t="shared" si="5"/>
        <v>0.7619047619</v>
      </c>
      <c r="AC9" s="15">
        <f t="shared" si="5"/>
        <v>0</v>
      </c>
    </row>
    <row r="10">
      <c r="G10" s="5" t="s">
        <v>258</v>
      </c>
      <c r="H10" s="16">
        <f t="shared" ref="H10:AC10" si="6">$J$3+H$4</f>
        <v>46305</v>
      </c>
      <c r="I10" s="16">
        <f t="shared" si="6"/>
        <v>46306</v>
      </c>
      <c r="J10" s="16">
        <f t="shared" si="6"/>
        <v>46307</v>
      </c>
      <c r="K10" s="16">
        <f t="shared" si="6"/>
        <v>46308</v>
      </c>
      <c r="L10" s="16">
        <f t="shared" si="6"/>
        <v>46309</v>
      </c>
      <c r="M10" s="16">
        <f t="shared" si="6"/>
        <v>46310</v>
      </c>
      <c r="N10" s="16">
        <f t="shared" si="6"/>
        <v>46311</v>
      </c>
      <c r="O10" s="16">
        <f t="shared" si="6"/>
        <v>46312</v>
      </c>
      <c r="P10" s="16">
        <f t="shared" si="6"/>
        <v>46313</v>
      </c>
      <c r="Q10" s="16">
        <f t="shared" si="6"/>
        <v>46314</v>
      </c>
      <c r="R10" s="16">
        <f t="shared" si="6"/>
        <v>46315</v>
      </c>
      <c r="S10" s="16">
        <f t="shared" si="6"/>
        <v>46316</v>
      </c>
      <c r="T10" s="16">
        <f t="shared" si="6"/>
        <v>46317</v>
      </c>
      <c r="U10" s="16">
        <f t="shared" si="6"/>
        <v>46318</v>
      </c>
      <c r="V10" s="16">
        <f t="shared" si="6"/>
        <v>46319</v>
      </c>
      <c r="W10" s="16">
        <f t="shared" si="6"/>
        <v>46320</v>
      </c>
      <c r="X10" s="16">
        <f t="shared" si="6"/>
        <v>46321</v>
      </c>
      <c r="Y10" s="16">
        <f t="shared" si="6"/>
        <v>46322</v>
      </c>
      <c r="Z10" s="16">
        <f t="shared" si="6"/>
        <v>46323</v>
      </c>
      <c r="AA10" s="16">
        <f t="shared" si="6"/>
        <v>46324</v>
      </c>
      <c r="AB10" s="16">
        <f t="shared" si="6"/>
        <v>46325</v>
      </c>
      <c r="AC10" s="16">
        <f t="shared" si="6"/>
        <v>46326</v>
      </c>
    </row>
    <row r="12">
      <c r="A12" s="4" t="s">
        <v>259</v>
      </c>
      <c r="B12" s="4" t="s">
        <v>163</v>
      </c>
      <c r="C12" s="4" t="s">
        <v>8</v>
      </c>
      <c r="D12" s="4" t="s">
        <v>260</v>
      </c>
      <c r="E12" s="4" t="s">
        <v>261</v>
      </c>
      <c r="F12" s="4" t="s">
        <v>15</v>
      </c>
      <c r="G12" s="4" t="s">
        <v>262</v>
      </c>
      <c r="H12" s="4">
        <v>0.0</v>
      </c>
      <c r="I12" s="4">
        <v>1.0</v>
      </c>
      <c r="J12" s="4">
        <v>2.0</v>
      </c>
      <c r="K12" s="4">
        <v>3.0</v>
      </c>
      <c r="L12" s="4">
        <v>4.0</v>
      </c>
      <c r="M12" s="4">
        <v>5.0</v>
      </c>
      <c r="N12" s="4">
        <v>6.0</v>
      </c>
      <c r="O12" s="4">
        <v>7.0</v>
      </c>
      <c r="P12" s="4">
        <v>8.0</v>
      </c>
      <c r="Q12" s="4">
        <v>9.0</v>
      </c>
      <c r="R12" s="4">
        <v>10.0</v>
      </c>
      <c r="S12" s="4">
        <v>11.0</v>
      </c>
      <c r="T12" s="4">
        <v>12.0</v>
      </c>
      <c r="U12" s="4">
        <v>13.0</v>
      </c>
      <c r="V12" s="4">
        <v>14.0</v>
      </c>
      <c r="W12" s="4">
        <v>15.0</v>
      </c>
      <c r="X12" s="4">
        <v>16.0</v>
      </c>
      <c r="Y12" s="4">
        <v>17.0</v>
      </c>
      <c r="Z12" s="4">
        <v>18.0</v>
      </c>
      <c r="AA12" s="4">
        <v>19.0</v>
      </c>
      <c r="AB12" s="4">
        <v>20.0</v>
      </c>
      <c r="AC12" s="4">
        <v>21.0</v>
      </c>
    </row>
    <row r="13">
      <c r="A13" s="6" t="s">
        <v>291</v>
      </c>
      <c r="B13" s="7" t="s">
        <v>198</v>
      </c>
      <c r="C13" s="7" t="s">
        <v>75</v>
      </c>
      <c r="D13" s="6" t="s">
        <v>264</v>
      </c>
      <c r="E13" s="6" t="s">
        <v>265</v>
      </c>
      <c r="F13" s="7" t="s">
        <v>35</v>
      </c>
      <c r="G13" s="7">
        <v>3.0</v>
      </c>
      <c r="H13" s="7">
        <f t="shared" ref="H13:H28" si="7">G13</f>
        <v>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6" t="s">
        <v>292</v>
      </c>
      <c r="B14" s="7" t="s">
        <v>198</v>
      </c>
      <c r="C14" s="7" t="s">
        <v>75</v>
      </c>
      <c r="D14" s="6" t="s">
        <v>264</v>
      </c>
      <c r="E14" s="6" t="s">
        <v>265</v>
      </c>
      <c r="F14" s="7" t="s">
        <v>35</v>
      </c>
      <c r="G14" s="7">
        <v>3.0</v>
      </c>
      <c r="H14" s="7">
        <f t="shared" si="7"/>
        <v>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6" t="s">
        <v>293</v>
      </c>
      <c r="B15" s="7" t="s">
        <v>201</v>
      </c>
      <c r="C15" s="7" t="s">
        <v>80</v>
      </c>
      <c r="D15" s="6" t="s">
        <v>264</v>
      </c>
      <c r="E15" s="6" t="s">
        <v>265</v>
      </c>
      <c r="F15" s="7" t="s">
        <v>35</v>
      </c>
      <c r="G15" s="7">
        <v>6.0</v>
      </c>
      <c r="H15" s="7">
        <f t="shared" si="7"/>
        <v>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6" t="s">
        <v>294</v>
      </c>
      <c r="B16" s="7" t="s">
        <v>201</v>
      </c>
      <c r="C16" s="7" t="s">
        <v>80</v>
      </c>
      <c r="D16" s="6" t="s">
        <v>264</v>
      </c>
      <c r="E16" s="6" t="s">
        <v>267</v>
      </c>
      <c r="F16" s="7" t="s">
        <v>35</v>
      </c>
      <c r="G16" s="7">
        <v>3.0</v>
      </c>
      <c r="H16" s="7">
        <f t="shared" si="7"/>
        <v>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6" t="s">
        <v>295</v>
      </c>
      <c r="B17" s="7" t="s">
        <v>204</v>
      </c>
      <c r="C17" s="7" t="s">
        <v>84</v>
      </c>
      <c r="D17" s="6" t="s">
        <v>264</v>
      </c>
      <c r="E17" s="6" t="s">
        <v>265</v>
      </c>
      <c r="F17" s="7" t="s">
        <v>35</v>
      </c>
      <c r="G17" s="7">
        <v>3.0</v>
      </c>
      <c r="H17" s="7">
        <f t="shared" si="7"/>
        <v>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6" t="s">
        <v>296</v>
      </c>
      <c r="B18" s="7" t="s">
        <v>204</v>
      </c>
      <c r="C18" s="7" t="s">
        <v>84</v>
      </c>
      <c r="D18" s="6" t="s">
        <v>264</v>
      </c>
      <c r="E18" s="6" t="s">
        <v>265</v>
      </c>
      <c r="F18" s="7" t="s">
        <v>35</v>
      </c>
      <c r="G18" s="7">
        <v>3.0</v>
      </c>
      <c r="H18" s="7">
        <f t="shared" si="7"/>
        <v>3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6" t="s">
        <v>297</v>
      </c>
      <c r="B19" s="7" t="s">
        <v>207</v>
      </c>
      <c r="C19" s="7" t="s">
        <v>88</v>
      </c>
      <c r="D19" s="6" t="s">
        <v>264</v>
      </c>
      <c r="E19" s="6" t="s">
        <v>267</v>
      </c>
      <c r="F19" s="7" t="s">
        <v>35</v>
      </c>
      <c r="G19" s="7">
        <v>4.0</v>
      </c>
      <c r="H19" s="7">
        <f t="shared" si="7"/>
        <v>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6" t="s">
        <v>298</v>
      </c>
      <c r="B20" s="7" t="s">
        <v>207</v>
      </c>
      <c r="C20" s="7" t="s">
        <v>88</v>
      </c>
      <c r="D20" s="6" t="s">
        <v>264</v>
      </c>
      <c r="E20" s="6" t="s">
        <v>275</v>
      </c>
      <c r="F20" s="7" t="s">
        <v>35</v>
      </c>
      <c r="G20" s="7">
        <v>4.0</v>
      </c>
      <c r="H20" s="7">
        <f t="shared" si="7"/>
        <v>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6" t="s">
        <v>299</v>
      </c>
      <c r="B21" s="7" t="s">
        <v>210</v>
      </c>
      <c r="C21" s="7" t="s">
        <v>92</v>
      </c>
      <c r="D21" s="6" t="s">
        <v>264</v>
      </c>
      <c r="E21" s="6" t="s">
        <v>267</v>
      </c>
      <c r="F21" s="7" t="s">
        <v>35</v>
      </c>
      <c r="G21" s="7">
        <v>4.0</v>
      </c>
      <c r="H21" s="7">
        <f t="shared" si="7"/>
        <v>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6" t="s">
        <v>300</v>
      </c>
      <c r="B22" s="7" t="s">
        <v>210</v>
      </c>
      <c r="C22" s="7" t="s">
        <v>92</v>
      </c>
      <c r="D22" s="6" t="s">
        <v>264</v>
      </c>
      <c r="E22" s="6" t="s">
        <v>275</v>
      </c>
      <c r="F22" s="7" t="s">
        <v>35</v>
      </c>
      <c r="G22" s="7">
        <v>4.0</v>
      </c>
      <c r="H22" s="7">
        <f t="shared" si="7"/>
        <v>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6" t="s">
        <v>301</v>
      </c>
      <c r="B23" s="7" t="s">
        <v>213</v>
      </c>
      <c r="C23" s="7" t="s">
        <v>95</v>
      </c>
      <c r="D23" s="6" t="s">
        <v>264</v>
      </c>
      <c r="E23" s="6" t="s">
        <v>265</v>
      </c>
      <c r="F23" s="7" t="s">
        <v>35</v>
      </c>
      <c r="G23" s="7">
        <v>3.0</v>
      </c>
      <c r="H23" s="7">
        <f t="shared" si="7"/>
        <v>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6" t="s">
        <v>302</v>
      </c>
      <c r="B24" s="7" t="s">
        <v>213</v>
      </c>
      <c r="C24" s="7" t="s">
        <v>95</v>
      </c>
      <c r="D24" s="6" t="s">
        <v>264</v>
      </c>
      <c r="E24" s="6" t="s">
        <v>265</v>
      </c>
      <c r="F24" s="7" t="s">
        <v>35</v>
      </c>
      <c r="G24" s="7">
        <v>3.0</v>
      </c>
      <c r="H24" s="7">
        <f t="shared" si="7"/>
        <v>3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6" t="s">
        <v>304</v>
      </c>
      <c r="B25" s="7" t="s">
        <v>216</v>
      </c>
      <c r="C25" s="7" t="s">
        <v>99</v>
      </c>
      <c r="D25" s="6" t="s">
        <v>264</v>
      </c>
      <c r="E25" s="6" t="s">
        <v>265</v>
      </c>
      <c r="F25" s="7" t="s">
        <v>35</v>
      </c>
      <c r="G25" s="7">
        <v>2.0</v>
      </c>
      <c r="H25" s="7">
        <f t="shared" si="7"/>
        <v>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6" t="s">
        <v>305</v>
      </c>
      <c r="B26" s="7" t="s">
        <v>216</v>
      </c>
      <c r="C26" s="7" t="s">
        <v>99</v>
      </c>
      <c r="D26" s="6" t="s">
        <v>264</v>
      </c>
      <c r="E26" s="6" t="s">
        <v>265</v>
      </c>
      <c r="F26" s="7" t="s">
        <v>35</v>
      </c>
      <c r="G26" s="7">
        <v>3.0</v>
      </c>
      <c r="H26" s="7">
        <f t="shared" si="7"/>
        <v>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6" t="s">
        <v>306</v>
      </c>
      <c r="B27" s="7" t="s">
        <v>219</v>
      </c>
      <c r="C27" s="7" t="s">
        <v>103</v>
      </c>
      <c r="D27" s="6" t="s">
        <v>264</v>
      </c>
      <c r="E27" s="6" t="s">
        <v>265</v>
      </c>
      <c r="F27" s="7" t="s">
        <v>35</v>
      </c>
      <c r="G27" s="7">
        <v>2.0</v>
      </c>
      <c r="H27" s="7">
        <f t="shared" si="7"/>
        <v>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6" t="s">
        <v>307</v>
      </c>
      <c r="B28" s="7" t="s">
        <v>288</v>
      </c>
      <c r="C28" s="7" t="s">
        <v>288</v>
      </c>
      <c r="D28" s="6" t="s">
        <v>264</v>
      </c>
      <c r="E28" s="6" t="s">
        <v>289</v>
      </c>
      <c r="F28" s="7" t="s">
        <v>35</v>
      </c>
      <c r="G28" s="7">
        <v>3.0</v>
      </c>
      <c r="H28" s="7">
        <f t="shared" si="7"/>
        <v>3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F29" s="13"/>
    </row>
    <row r="30" ht="15.75" customHeight="1">
      <c r="F30" s="13"/>
    </row>
    <row r="31" ht="15.75" customHeight="1">
      <c r="F31" s="13"/>
    </row>
    <row r="32" ht="15.75" customHeight="1">
      <c r="F32" s="13"/>
    </row>
    <row r="33" ht="15.75" customHeight="1">
      <c r="F33" s="13"/>
    </row>
    <row r="34" ht="15.75" customHeight="1">
      <c r="F34" s="13"/>
    </row>
    <row r="35" ht="15.75" customHeight="1">
      <c r="F35" s="13"/>
    </row>
    <row r="36" ht="15.75" customHeight="1">
      <c r="F36" s="13"/>
    </row>
    <row r="37" ht="15.75" customHeight="1">
      <c r="F37" s="13"/>
    </row>
    <row r="38" ht="15.75" customHeight="1">
      <c r="F38" s="13"/>
    </row>
    <row r="39" ht="15.75" customHeight="1">
      <c r="F39" s="13"/>
    </row>
    <row r="40" ht="15.75" customHeight="1">
      <c r="F40" s="13"/>
    </row>
    <row r="41" ht="15.75" customHeight="1">
      <c r="F41" s="13"/>
    </row>
    <row r="42" ht="15.75" customHeight="1">
      <c r="F42" s="13"/>
    </row>
    <row r="43" ht="15.75" customHeight="1"/>
    <row r="44" ht="15.75" customHeight="1">
      <c r="A44" s="2" t="s">
        <v>290</v>
      </c>
    </row>
    <row r="45" ht="15.75" hidden="1" customHeight="1">
      <c r="G45" s="17" t="s">
        <v>252</v>
      </c>
      <c r="H45" s="18">
        <f t="shared" ref="H45:AC45" si="8">IF(H5="",NA(),H5)</f>
        <v>53</v>
      </c>
      <c r="I45" s="17" t="str">
        <f t="shared" si="8"/>
        <v>#N/A</v>
      </c>
      <c r="J45" s="17" t="str">
        <f t="shared" si="8"/>
        <v>#N/A</v>
      </c>
      <c r="K45" s="17" t="str">
        <f t="shared" si="8"/>
        <v>#N/A</v>
      </c>
      <c r="L45" s="17" t="str">
        <f t="shared" si="8"/>
        <v>#N/A</v>
      </c>
      <c r="M45" s="17" t="str">
        <f t="shared" si="8"/>
        <v>#N/A</v>
      </c>
      <c r="N45" s="17" t="str">
        <f t="shared" si="8"/>
        <v>#N/A</v>
      </c>
      <c r="O45" s="17" t="str">
        <f t="shared" si="8"/>
        <v>#N/A</v>
      </c>
      <c r="P45" s="17" t="str">
        <f t="shared" si="8"/>
        <v>#N/A</v>
      </c>
      <c r="Q45" s="17" t="str">
        <f t="shared" si="8"/>
        <v>#N/A</v>
      </c>
      <c r="R45" s="17" t="str">
        <f t="shared" si="8"/>
        <v>#N/A</v>
      </c>
      <c r="S45" s="17" t="str">
        <f t="shared" si="8"/>
        <v>#N/A</v>
      </c>
      <c r="T45" s="17" t="str">
        <f t="shared" si="8"/>
        <v>#N/A</v>
      </c>
      <c r="U45" s="17" t="str">
        <f t="shared" si="8"/>
        <v>#N/A</v>
      </c>
      <c r="V45" s="17" t="str">
        <f t="shared" si="8"/>
        <v>#N/A</v>
      </c>
      <c r="W45" s="17" t="str">
        <f t="shared" si="8"/>
        <v>#N/A</v>
      </c>
      <c r="X45" s="17" t="str">
        <f t="shared" si="8"/>
        <v>#N/A</v>
      </c>
      <c r="Y45" s="17" t="str">
        <f t="shared" si="8"/>
        <v>#N/A</v>
      </c>
      <c r="Z45" s="17" t="str">
        <f t="shared" si="8"/>
        <v>#N/A</v>
      </c>
      <c r="AA45" s="17" t="str">
        <f t="shared" si="8"/>
        <v>#N/A</v>
      </c>
      <c r="AB45" s="17" t="str">
        <f t="shared" si="8"/>
        <v>#N/A</v>
      </c>
      <c r="AC45" s="17" t="str">
        <f t="shared" si="8"/>
        <v>#N/A</v>
      </c>
    </row>
    <row r="46" ht="15.75" hidden="1" customHeight="1">
      <c r="G46" s="17" t="s">
        <v>254</v>
      </c>
      <c r="H46" s="17" t="str">
        <f t="shared" ref="H46:AC46" si="9">IF(H6="",NA(),H6)</f>
        <v>#N/A</v>
      </c>
      <c r="I46" s="17" t="str">
        <f t="shared" si="9"/>
        <v>#N/A</v>
      </c>
      <c r="J46" s="17" t="str">
        <f t="shared" si="9"/>
        <v>#N/A</v>
      </c>
      <c r="K46" s="17" t="str">
        <f t="shared" si="9"/>
        <v>#N/A</v>
      </c>
      <c r="L46" s="17" t="str">
        <f t="shared" si="9"/>
        <v>#N/A</v>
      </c>
      <c r="M46" s="17" t="str">
        <f t="shared" si="9"/>
        <v>#N/A</v>
      </c>
      <c r="N46" s="17" t="str">
        <f t="shared" si="9"/>
        <v>#N/A</v>
      </c>
      <c r="O46" s="17" t="str">
        <f t="shared" si="9"/>
        <v>#N/A</v>
      </c>
      <c r="P46" s="17" t="str">
        <f t="shared" si="9"/>
        <v>#N/A</v>
      </c>
      <c r="Q46" s="17" t="str">
        <f t="shared" si="9"/>
        <v>#N/A</v>
      </c>
      <c r="R46" s="17" t="str">
        <f t="shared" si="9"/>
        <v>#N/A</v>
      </c>
      <c r="S46" s="17" t="str">
        <f t="shared" si="9"/>
        <v>#N/A</v>
      </c>
      <c r="T46" s="17" t="str">
        <f t="shared" si="9"/>
        <v>#N/A</v>
      </c>
      <c r="U46" s="17" t="str">
        <f t="shared" si="9"/>
        <v>#N/A</v>
      </c>
      <c r="V46" s="17" t="str">
        <f t="shared" si="9"/>
        <v>#N/A</v>
      </c>
      <c r="W46" s="17" t="str">
        <f t="shared" si="9"/>
        <v>#N/A</v>
      </c>
      <c r="X46" s="17" t="str">
        <f t="shared" si="9"/>
        <v>#N/A</v>
      </c>
      <c r="Y46" s="17" t="str">
        <f t="shared" si="9"/>
        <v>#N/A</v>
      </c>
      <c r="Z46" s="17" t="str">
        <f t="shared" si="9"/>
        <v>#N/A</v>
      </c>
      <c r="AA46" s="17" t="str">
        <f t="shared" si="9"/>
        <v>#N/A</v>
      </c>
      <c r="AB46" s="17" t="str">
        <f t="shared" si="9"/>
        <v>#N/A</v>
      </c>
      <c r="AC46" s="17" t="str">
        <f t="shared" si="9"/>
        <v>#N/A</v>
      </c>
    </row>
    <row r="47" ht="15.75" hidden="1" customHeight="1">
      <c r="G47" s="17" t="s">
        <v>255</v>
      </c>
      <c r="H47" s="18">
        <f t="shared" ref="H47:AC47" si="10">H7</f>
        <v>53</v>
      </c>
      <c r="I47" s="18">
        <f t="shared" si="10"/>
        <v>50.47619048</v>
      </c>
      <c r="J47" s="18">
        <f t="shared" si="10"/>
        <v>47.95238095</v>
      </c>
      <c r="K47" s="18">
        <f t="shared" si="10"/>
        <v>45.42857143</v>
      </c>
      <c r="L47" s="18">
        <f t="shared" si="10"/>
        <v>42.9047619</v>
      </c>
      <c r="M47" s="18">
        <f t="shared" si="10"/>
        <v>40.38095238</v>
      </c>
      <c r="N47" s="18">
        <f t="shared" si="10"/>
        <v>37.85714286</v>
      </c>
      <c r="O47" s="18">
        <f t="shared" si="10"/>
        <v>35.33333333</v>
      </c>
      <c r="P47" s="18">
        <f t="shared" si="10"/>
        <v>32.80952381</v>
      </c>
      <c r="Q47" s="18">
        <f t="shared" si="10"/>
        <v>30.28571429</v>
      </c>
      <c r="R47" s="18">
        <f t="shared" si="10"/>
        <v>27.76190476</v>
      </c>
      <c r="S47" s="18">
        <f t="shared" si="10"/>
        <v>25.23809524</v>
      </c>
      <c r="T47" s="18">
        <f t="shared" si="10"/>
        <v>22.71428571</v>
      </c>
      <c r="U47" s="18">
        <f t="shared" si="10"/>
        <v>20.19047619</v>
      </c>
      <c r="V47" s="18">
        <f t="shared" si="10"/>
        <v>17.66666667</v>
      </c>
      <c r="W47" s="18">
        <f t="shared" si="10"/>
        <v>15.14285714</v>
      </c>
      <c r="X47" s="18">
        <f t="shared" si="10"/>
        <v>12.61904762</v>
      </c>
      <c r="Y47" s="18">
        <f t="shared" si="10"/>
        <v>10.0952381</v>
      </c>
      <c r="Z47" s="18">
        <f t="shared" si="10"/>
        <v>7.571428571</v>
      </c>
      <c r="AA47" s="18">
        <f t="shared" si="10"/>
        <v>5.047619048</v>
      </c>
      <c r="AB47" s="18">
        <f t="shared" si="10"/>
        <v>2.523809524</v>
      </c>
      <c r="AC47" s="18">
        <f t="shared" si="10"/>
        <v>0</v>
      </c>
    </row>
    <row r="48" ht="15.75" hidden="1" customHeight="1">
      <c r="G48" s="17" t="s">
        <v>256</v>
      </c>
      <c r="H48" s="17">
        <f t="shared" ref="H48:AC48" si="11">IF(H8="",NA(),H8)</f>
        <v>16</v>
      </c>
      <c r="I48" s="17" t="str">
        <f t="shared" si="11"/>
        <v>#N/A</v>
      </c>
      <c r="J48" s="17" t="str">
        <f t="shared" si="11"/>
        <v>#N/A</v>
      </c>
      <c r="K48" s="17" t="str">
        <f t="shared" si="11"/>
        <v>#N/A</v>
      </c>
      <c r="L48" s="17" t="str">
        <f t="shared" si="11"/>
        <v>#N/A</v>
      </c>
      <c r="M48" s="17" t="str">
        <f t="shared" si="11"/>
        <v>#N/A</v>
      </c>
      <c r="N48" s="17" t="str">
        <f t="shared" si="11"/>
        <v>#N/A</v>
      </c>
      <c r="O48" s="17" t="str">
        <f t="shared" si="11"/>
        <v>#N/A</v>
      </c>
      <c r="P48" s="17" t="str">
        <f t="shared" si="11"/>
        <v>#N/A</v>
      </c>
      <c r="Q48" s="17" t="str">
        <f t="shared" si="11"/>
        <v>#N/A</v>
      </c>
      <c r="R48" s="17" t="str">
        <f t="shared" si="11"/>
        <v>#N/A</v>
      </c>
      <c r="S48" s="17" t="str">
        <f t="shared" si="11"/>
        <v>#N/A</v>
      </c>
      <c r="T48" s="17" t="str">
        <f t="shared" si="11"/>
        <v>#N/A</v>
      </c>
      <c r="U48" s="17" t="str">
        <f t="shared" si="11"/>
        <v>#N/A</v>
      </c>
      <c r="V48" s="17" t="str">
        <f t="shared" si="11"/>
        <v>#N/A</v>
      </c>
      <c r="W48" s="17" t="str">
        <f t="shared" si="11"/>
        <v>#N/A</v>
      </c>
      <c r="X48" s="17" t="str">
        <f t="shared" si="11"/>
        <v>#N/A</v>
      </c>
      <c r="Y48" s="17" t="str">
        <f t="shared" si="11"/>
        <v>#N/A</v>
      </c>
      <c r="Z48" s="17" t="str">
        <f t="shared" si="11"/>
        <v>#N/A</v>
      </c>
      <c r="AA48" s="17" t="str">
        <f t="shared" si="11"/>
        <v>#N/A</v>
      </c>
      <c r="AB48" s="17" t="str">
        <f t="shared" si="11"/>
        <v>#N/A</v>
      </c>
      <c r="AC48" s="17" t="str">
        <f t="shared" si="11"/>
        <v>#N/A</v>
      </c>
    </row>
    <row r="49" ht="15.75" hidden="1" customHeight="1">
      <c r="G49" s="17" t="s">
        <v>257</v>
      </c>
      <c r="H49" s="18">
        <f t="shared" ref="H49:AC49" si="12">H9</f>
        <v>16</v>
      </c>
      <c r="I49" s="18">
        <f t="shared" si="12"/>
        <v>15.23809524</v>
      </c>
      <c r="J49" s="18">
        <f t="shared" si="12"/>
        <v>14.47619048</v>
      </c>
      <c r="K49" s="18">
        <f t="shared" si="12"/>
        <v>13.71428571</v>
      </c>
      <c r="L49" s="18">
        <f t="shared" si="12"/>
        <v>12.95238095</v>
      </c>
      <c r="M49" s="18">
        <f t="shared" si="12"/>
        <v>12.19047619</v>
      </c>
      <c r="N49" s="18">
        <f t="shared" si="12"/>
        <v>11.42857143</v>
      </c>
      <c r="O49" s="18">
        <f t="shared" si="12"/>
        <v>10.66666667</v>
      </c>
      <c r="P49" s="18">
        <f t="shared" si="12"/>
        <v>9.904761905</v>
      </c>
      <c r="Q49" s="18">
        <f t="shared" si="12"/>
        <v>9.142857143</v>
      </c>
      <c r="R49" s="18">
        <f t="shared" si="12"/>
        <v>8.380952381</v>
      </c>
      <c r="S49" s="18">
        <f t="shared" si="12"/>
        <v>7.619047619</v>
      </c>
      <c r="T49" s="18">
        <f t="shared" si="12"/>
        <v>6.857142857</v>
      </c>
      <c r="U49" s="18">
        <f t="shared" si="12"/>
        <v>6.095238095</v>
      </c>
      <c r="V49" s="18">
        <f t="shared" si="12"/>
        <v>5.333333333</v>
      </c>
      <c r="W49" s="18">
        <f t="shared" si="12"/>
        <v>4.571428571</v>
      </c>
      <c r="X49" s="18">
        <f t="shared" si="12"/>
        <v>3.80952381</v>
      </c>
      <c r="Y49" s="18">
        <f t="shared" si="12"/>
        <v>3.047619048</v>
      </c>
      <c r="Z49" s="18">
        <f t="shared" si="12"/>
        <v>2.285714286</v>
      </c>
      <c r="AA49" s="18">
        <f t="shared" si="12"/>
        <v>1.523809524</v>
      </c>
      <c r="AB49" s="18">
        <f t="shared" si="12"/>
        <v>0.7619047619</v>
      </c>
      <c r="AC49" s="18">
        <f t="shared" si="12"/>
        <v>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13:F42">
      <formula1>"Planeado,En desarrollo,Terminado"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303</v>
      </c>
    </row>
    <row r="2">
      <c r="A2" s="2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308</v>
      </c>
    </row>
    <row r="2">
      <c r="A2" s="2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2.0" topLeftCell="H13" activePane="bottomRight" state="frozen"/>
      <selection activeCell="H1" sqref="H1" pane="topRight"/>
      <selection activeCell="A13" sqref="A13" pane="bottomLeft"/>
      <selection activeCell="H13" sqref="H13" pane="bottomRight"/>
    </sheetView>
  </sheetViews>
  <sheetFormatPr customHeight="1" defaultColWidth="14.43" defaultRowHeight="15.0"/>
  <cols>
    <col customWidth="1" min="1" max="1" width="50.0"/>
    <col customWidth="1" min="2" max="2" width="8.0"/>
    <col customWidth="1" min="3" max="3" width="10.0"/>
    <col customWidth="1" min="4" max="4" width="24.0"/>
    <col customWidth="1" min="5" max="5" width="22.0"/>
    <col customWidth="1" min="6" max="6" width="13.0"/>
    <col customWidth="1" min="7" max="7" width="18.0"/>
    <col customWidth="1" min="8" max="29" width="6.57"/>
  </cols>
  <sheetData>
    <row r="1">
      <c r="A1" s="1" t="s">
        <v>309</v>
      </c>
    </row>
    <row r="2">
      <c r="A2" s="2" t="s">
        <v>247</v>
      </c>
    </row>
    <row r="3">
      <c r="A3" s="5" t="s">
        <v>10</v>
      </c>
      <c r="B3" s="7">
        <f t="array" ref="B3">INDEX('Sprint Plan'!$C$4:$C$6,3)</f>
        <v>21</v>
      </c>
      <c r="C3" s="5" t="s">
        <v>248</v>
      </c>
      <c r="D3" s="7">
        <f>COUNTA(A13:A42)</f>
        <v>15</v>
      </c>
      <c r="E3" s="5" t="s">
        <v>249</v>
      </c>
      <c r="F3" s="7">
        <f>SUM(G13:G42)</f>
        <v>47</v>
      </c>
      <c r="G3" s="5" t="s">
        <v>250</v>
      </c>
      <c r="H3" s="14">
        <f t="array" ref="H3">IF(COUNT($H$5:$AC$5)&lt;=1,0,($F$3-INDEX($H$5:$AC$5,COUNT($H$5:$AC$5)))/(COUNT($H$5:$AC$5)-1))</f>
        <v>0</v>
      </c>
      <c r="I3" s="5" t="s">
        <v>9</v>
      </c>
      <c r="J3" s="9">
        <f t="array" ref="J3">INDEX('Sprint Plan'!$B$4:$B$6,3)</f>
        <v>46326</v>
      </c>
    </row>
    <row r="4">
      <c r="G4" s="5" t="s">
        <v>251</v>
      </c>
      <c r="H4" s="4">
        <v>0.0</v>
      </c>
      <c r="I4" s="4">
        <v>1.0</v>
      </c>
      <c r="J4" s="4">
        <v>2.0</v>
      </c>
      <c r="K4" s="4">
        <v>3.0</v>
      </c>
      <c r="L4" s="4">
        <v>4.0</v>
      </c>
      <c r="M4" s="4">
        <v>5.0</v>
      </c>
      <c r="N4" s="4">
        <v>6.0</v>
      </c>
      <c r="O4" s="4">
        <v>7.0</v>
      </c>
      <c r="P4" s="4">
        <v>8.0</v>
      </c>
      <c r="Q4" s="4">
        <v>9.0</v>
      </c>
      <c r="R4" s="4">
        <v>10.0</v>
      </c>
      <c r="S4" s="4">
        <v>11.0</v>
      </c>
      <c r="T4" s="4">
        <v>12.0</v>
      </c>
      <c r="U4" s="4">
        <v>13.0</v>
      </c>
      <c r="V4" s="4">
        <v>14.0</v>
      </c>
      <c r="W4" s="4">
        <v>15.0</v>
      </c>
      <c r="X4" s="4">
        <v>16.0</v>
      </c>
      <c r="Y4" s="4">
        <v>17.0</v>
      </c>
      <c r="Z4" s="4">
        <v>18.0</v>
      </c>
      <c r="AA4" s="4">
        <v>19.0</v>
      </c>
      <c r="AB4" s="4">
        <v>20.0</v>
      </c>
      <c r="AC4" s="4">
        <v>21.0</v>
      </c>
    </row>
    <row r="5">
      <c r="G5" s="5" t="s">
        <v>252</v>
      </c>
      <c r="H5" s="15">
        <f t="shared" ref="H5:AC5" si="1">IF(COUNT(H$13:H$42)=0,"",SUM(H$13:H$42))</f>
        <v>47</v>
      </c>
      <c r="I5" s="15" t="str">
        <f t="shared" si="1"/>
        <v/>
      </c>
      <c r="J5" s="15" t="str">
        <f t="shared" si="1"/>
        <v/>
      </c>
      <c r="K5" s="15" t="str">
        <f t="shared" si="1"/>
        <v/>
      </c>
      <c r="L5" s="15" t="str">
        <f t="shared" si="1"/>
        <v/>
      </c>
      <c r="M5" s="15" t="str">
        <f t="shared" si="1"/>
        <v/>
      </c>
      <c r="N5" s="15" t="str">
        <f t="shared" si="1"/>
        <v/>
      </c>
      <c r="O5" s="15" t="str">
        <f t="shared" si="1"/>
        <v/>
      </c>
      <c r="P5" s="15" t="str">
        <f t="shared" si="1"/>
        <v/>
      </c>
      <c r="Q5" s="15" t="str">
        <f t="shared" si="1"/>
        <v/>
      </c>
      <c r="R5" s="15" t="str">
        <f t="shared" si="1"/>
        <v/>
      </c>
      <c r="S5" s="15" t="str">
        <f t="shared" si="1"/>
        <v/>
      </c>
      <c r="T5" s="15" t="str">
        <f t="shared" si="1"/>
        <v/>
      </c>
      <c r="U5" s="15" t="str">
        <f t="shared" si="1"/>
        <v/>
      </c>
      <c r="V5" s="15" t="str">
        <f t="shared" si="1"/>
        <v/>
      </c>
      <c r="W5" s="15" t="str">
        <f t="shared" si="1"/>
        <v/>
      </c>
      <c r="X5" s="15" t="str">
        <f t="shared" si="1"/>
        <v/>
      </c>
      <c r="Y5" s="15" t="str">
        <f t="shared" si="1"/>
        <v/>
      </c>
      <c r="Z5" s="15" t="str">
        <f t="shared" si="1"/>
        <v/>
      </c>
      <c r="AA5" s="15" t="str">
        <f t="shared" si="1"/>
        <v/>
      </c>
      <c r="AB5" s="15" t="str">
        <f t="shared" si="1"/>
        <v/>
      </c>
      <c r="AC5" s="15" t="str">
        <f t="shared" si="1"/>
        <v/>
      </c>
    </row>
    <row r="6">
      <c r="G6" s="5" t="s">
        <v>254</v>
      </c>
      <c r="H6" s="15" t="str">
        <f t="shared" ref="H6:AC6" si="2">IF($H$3=0,"",MAX(0,$F$3-$H$3*H$4))</f>
        <v/>
      </c>
      <c r="I6" s="15" t="str">
        <f t="shared" si="2"/>
        <v/>
      </c>
      <c r="J6" s="15" t="str">
        <f t="shared" si="2"/>
        <v/>
      </c>
      <c r="K6" s="15" t="str">
        <f t="shared" si="2"/>
        <v/>
      </c>
      <c r="L6" s="15" t="str">
        <f t="shared" si="2"/>
        <v/>
      </c>
      <c r="M6" s="15" t="str">
        <f t="shared" si="2"/>
        <v/>
      </c>
      <c r="N6" s="15" t="str">
        <f t="shared" si="2"/>
        <v/>
      </c>
      <c r="O6" s="15" t="str">
        <f t="shared" si="2"/>
        <v/>
      </c>
      <c r="P6" s="15" t="str">
        <f t="shared" si="2"/>
        <v/>
      </c>
      <c r="Q6" s="15" t="str">
        <f t="shared" si="2"/>
        <v/>
      </c>
      <c r="R6" s="15" t="str">
        <f t="shared" si="2"/>
        <v/>
      </c>
      <c r="S6" s="15" t="str">
        <f t="shared" si="2"/>
        <v/>
      </c>
      <c r="T6" s="15" t="str">
        <f t="shared" si="2"/>
        <v/>
      </c>
      <c r="U6" s="15" t="str">
        <f t="shared" si="2"/>
        <v/>
      </c>
      <c r="V6" s="15" t="str">
        <f t="shared" si="2"/>
        <v/>
      </c>
      <c r="W6" s="15" t="str">
        <f t="shared" si="2"/>
        <v/>
      </c>
      <c r="X6" s="15" t="str">
        <f t="shared" si="2"/>
        <v/>
      </c>
      <c r="Y6" s="15" t="str">
        <f t="shared" si="2"/>
        <v/>
      </c>
      <c r="Z6" s="15" t="str">
        <f t="shared" si="2"/>
        <v/>
      </c>
      <c r="AA6" s="15" t="str">
        <f t="shared" si="2"/>
        <v/>
      </c>
      <c r="AB6" s="15" t="str">
        <f t="shared" si="2"/>
        <v/>
      </c>
      <c r="AC6" s="15" t="str">
        <f t="shared" si="2"/>
        <v/>
      </c>
    </row>
    <row r="7">
      <c r="G7" s="5" t="s">
        <v>255</v>
      </c>
      <c r="H7" s="15">
        <f t="shared" ref="H7:AC7" si="3">$F$3-$F$3/$B$3*H$4</f>
        <v>47</v>
      </c>
      <c r="I7" s="15">
        <f t="shared" si="3"/>
        <v>44.76190476</v>
      </c>
      <c r="J7" s="15">
        <f t="shared" si="3"/>
        <v>42.52380952</v>
      </c>
      <c r="K7" s="15">
        <f t="shared" si="3"/>
        <v>40.28571429</v>
      </c>
      <c r="L7" s="15">
        <f t="shared" si="3"/>
        <v>38.04761905</v>
      </c>
      <c r="M7" s="15">
        <f t="shared" si="3"/>
        <v>35.80952381</v>
      </c>
      <c r="N7" s="15">
        <f t="shared" si="3"/>
        <v>33.57142857</v>
      </c>
      <c r="O7" s="15">
        <f t="shared" si="3"/>
        <v>31.33333333</v>
      </c>
      <c r="P7" s="15">
        <f t="shared" si="3"/>
        <v>29.0952381</v>
      </c>
      <c r="Q7" s="15">
        <f t="shared" si="3"/>
        <v>26.85714286</v>
      </c>
      <c r="R7" s="15">
        <f t="shared" si="3"/>
        <v>24.61904762</v>
      </c>
      <c r="S7" s="15">
        <f t="shared" si="3"/>
        <v>22.38095238</v>
      </c>
      <c r="T7" s="15">
        <f t="shared" si="3"/>
        <v>20.14285714</v>
      </c>
      <c r="U7" s="15">
        <f t="shared" si="3"/>
        <v>17.9047619</v>
      </c>
      <c r="V7" s="15">
        <f t="shared" si="3"/>
        <v>15.66666667</v>
      </c>
      <c r="W7" s="15">
        <f t="shared" si="3"/>
        <v>13.42857143</v>
      </c>
      <c r="X7" s="15">
        <f t="shared" si="3"/>
        <v>11.19047619</v>
      </c>
      <c r="Y7" s="15">
        <f t="shared" si="3"/>
        <v>8.952380952</v>
      </c>
      <c r="Z7" s="15">
        <f t="shared" si="3"/>
        <v>6.714285714</v>
      </c>
      <c r="AA7" s="15">
        <f t="shared" si="3"/>
        <v>4.476190476</v>
      </c>
      <c r="AB7" s="15">
        <f t="shared" si="3"/>
        <v>2.238095238</v>
      </c>
      <c r="AC7" s="15">
        <f t="shared" si="3"/>
        <v>0</v>
      </c>
    </row>
    <row r="8">
      <c r="G8" s="5" t="s">
        <v>256</v>
      </c>
      <c r="H8" s="7">
        <f t="shared" ref="H8:AC8" si="4">IF(COUNT(H$13:H$42)=0,"",COUNTIF(H$13:H$42,"&gt;0"))</f>
        <v>15</v>
      </c>
      <c r="I8" s="7" t="str">
        <f t="shared" si="4"/>
        <v/>
      </c>
      <c r="J8" s="7" t="str">
        <f t="shared" si="4"/>
        <v/>
      </c>
      <c r="K8" s="7" t="str">
        <f t="shared" si="4"/>
        <v/>
      </c>
      <c r="L8" s="7" t="str">
        <f t="shared" si="4"/>
        <v/>
      </c>
      <c r="M8" s="7" t="str">
        <f t="shared" si="4"/>
        <v/>
      </c>
      <c r="N8" s="7" t="str">
        <f t="shared" si="4"/>
        <v/>
      </c>
      <c r="O8" s="7" t="str">
        <f t="shared" si="4"/>
        <v/>
      </c>
      <c r="P8" s="7" t="str">
        <f t="shared" si="4"/>
        <v/>
      </c>
      <c r="Q8" s="7" t="str">
        <f t="shared" si="4"/>
        <v/>
      </c>
      <c r="R8" s="7" t="str">
        <f t="shared" si="4"/>
        <v/>
      </c>
      <c r="S8" s="7" t="str">
        <f t="shared" si="4"/>
        <v/>
      </c>
      <c r="T8" s="7" t="str">
        <f t="shared" si="4"/>
        <v/>
      </c>
      <c r="U8" s="7" t="str">
        <f t="shared" si="4"/>
        <v/>
      </c>
      <c r="V8" s="7" t="str">
        <f t="shared" si="4"/>
        <v/>
      </c>
      <c r="W8" s="7" t="str">
        <f t="shared" si="4"/>
        <v/>
      </c>
      <c r="X8" s="7" t="str">
        <f t="shared" si="4"/>
        <v/>
      </c>
      <c r="Y8" s="7" t="str">
        <f t="shared" si="4"/>
        <v/>
      </c>
      <c r="Z8" s="7" t="str">
        <f t="shared" si="4"/>
        <v/>
      </c>
      <c r="AA8" s="7" t="str">
        <f t="shared" si="4"/>
        <v/>
      </c>
      <c r="AB8" s="7" t="str">
        <f t="shared" si="4"/>
        <v/>
      </c>
      <c r="AC8" s="7" t="str">
        <f t="shared" si="4"/>
        <v/>
      </c>
    </row>
    <row r="9">
      <c r="G9" s="5" t="s">
        <v>257</v>
      </c>
      <c r="H9" s="15">
        <f t="shared" ref="H9:AC9" si="5">$D$3-$D$3/$B$3*H$4</f>
        <v>15</v>
      </c>
      <c r="I9" s="15">
        <f t="shared" si="5"/>
        <v>14.28571429</v>
      </c>
      <c r="J9" s="15">
        <f t="shared" si="5"/>
        <v>13.57142857</v>
      </c>
      <c r="K9" s="15">
        <f t="shared" si="5"/>
        <v>12.85714286</v>
      </c>
      <c r="L9" s="15">
        <f t="shared" si="5"/>
        <v>12.14285714</v>
      </c>
      <c r="M9" s="15">
        <f t="shared" si="5"/>
        <v>11.42857143</v>
      </c>
      <c r="N9" s="15">
        <f t="shared" si="5"/>
        <v>10.71428571</v>
      </c>
      <c r="O9" s="15">
        <f t="shared" si="5"/>
        <v>10</v>
      </c>
      <c r="P9" s="15">
        <f t="shared" si="5"/>
        <v>9.285714286</v>
      </c>
      <c r="Q9" s="15">
        <f t="shared" si="5"/>
        <v>8.571428571</v>
      </c>
      <c r="R9" s="15">
        <f t="shared" si="5"/>
        <v>7.857142857</v>
      </c>
      <c r="S9" s="15">
        <f t="shared" si="5"/>
        <v>7.142857143</v>
      </c>
      <c r="T9" s="15">
        <f t="shared" si="5"/>
        <v>6.428571429</v>
      </c>
      <c r="U9" s="15">
        <f t="shared" si="5"/>
        <v>5.714285714</v>
      </c>
      <c r="V9" s="15">
        <f t="shared" si="5"/>
        <v>5</v>
      </c>
      <c r="W9" s="15">
        <f t="shared" si="5"/>
        <v>4.285714286</v>
      </c>
      <c r="X9" s="15">
        <f t="shared" si="5"/>
        <v>3.571428571</v>
      </c>
      <c r="Y9" s="15">
        <f t="shared" si="5"/>
        <v>2.857142857</v>
      </c>
      <c r="Z9" s="15">
        <f t="shared" si="5"/>
        <v>2.142857143</v>
      </c>
      <c r="AA9" s="15">
        <f t="shared" si="5"/>
        <v>1.428571429</v>
      </c>
      <c r="AB9" s="15">
        <f t="shared" si="5"/>
        <v>0.7142857143</v>
      </c>
      <c r="AC9" s="15">
        <f t="shared" si="5"/>
        <v>0</v>
      </c>
    </row>
    <row r="10">
      <c r="G10" s="5" t="s">
        <v>258</v>
      </c>
      <c r="H10" s="16">
        <f t="shared" ref="H10:AC10" si="6">$J$3+H$4</f>
        <v>46326</v>
      </c>
      <c r="I10" s="16">
        <f t="shared" si="6"/>
        <v>46327</v>
      </c>
      <c r="J10" s="16">
        <f t="shared" si="6"/>
        <v>46328</v>
      </c>
      <c r="K10" s="16">
        <f t="shared" si="6"/>
        <v>46329</v>
      </c>
      <c r="L10" s="16">
        <f t="shared" si="6"/>
        <v>46330</v>
      </c>
      <c r="M10" s="16">
        <f t="shared" si="6"/>
        <v>46331</v>
      </c>
      <c r="N10" s="16">
        <f t="shared" si="6"/>
        <v>46332</v>
      </c>
      <c r="O10" s="16">
        <f t="shared" si="6"/>
        <v>46333</v>
      </c>
      <c r="P10" s="16">
        <f t="shared" si="6"/>
        <v>46334</v>
      </c>
      <c r="Q10" s="16">
        <f t="shared" si="6"/>
        <v>46335</v>
      </c>
      <c r="R10" s="16">
        <f t="shared" si="6"/>
        <v>46336</v>
      </c>
      <c r="S10" s="16">
        <f t="shared" si="6"/>
        <v>46337</v>
      </c>
      <c r="T10" s="16">
        <f t="shared" si="6"/>
        <v>46338</v>
      </c>
      <c r="U10" s="16">
        <f t="shared" si="6"/>
        <v>46339</v>
      </c>
      <c r="V10" s="16">
        <f t="shared" si="6"/>
        <v>46340</v>
      </c>
      <c r="W10" s="16">
        <f t="shared" si="6"/>
        <v>46341</v>
      </c>
      <c r="X10" s="16">
        <f t="shared" si="6"/>
        <v>46342</v>
      </c>
      <c r="Y10" s="16">
        <f t="shared" si="6"/>
        <v>46343</v>
      </c>
      <c r="Z10" s="16">
        <f t="shared" si="6"/>
        <v>46344</v>
      </c>
      <c r="AA10" s="16">
        <f t="shared" si="6"/>
        <v>46345</v>
      </c>
      <c r="AB10" s="16">
        <f t="shared" si="6"/>
        <v>46346</v>
      </c>
      <c r="AC10" s="16">
        <f t="shared" si="6"/>
        <v>46347</v>
      </c>
    </row>
    <row r="12">
      <c r="A12" s="4" t="s">
        <v>259</v>
      </c>
      <c r="B12" s="4" t="s">
        <v>163</v>
      </c>
      <c r="C12" s="4" t="s">
        <v>8</v>
      </c>
      <c r="D12" s="4" t="s">
        <v>260</v>
      </c>
      <c r="E12" s="4" t="s">
        <v>261</v>
      </c>
      <c r="F12" s="4" t="s">
        <v>15</v>
      </c>
      <c r="G12" s="4" t="s">
        <v>262</v>
      </c>
      <c r="H12" s="4">
        <v>0.0</v>
      </c>
      <c r="I12" s="4">
        <v>1.0</v>
      </c>
      <c r="J12" s="4">
        <v>2.0</v>
      </c>
      <c r="K12" s="4">
        <v>3.0</v>
      </c>
      <c r="L12" s="4">
        <v>4.0</v>
      </c>
      <c r="M12" s="4">
        <v>5.0</v>
      </c>
      <c r="N12" s="4">
        <v>6.0</v>
      </c>
      <c r="O12" s="4">
        <v>7.0</v>
      </c>
      <c r="P12" s="4">
        <v>8.0</v>
      </c>
      <c r="Q12" s="4">
        <v>9.0</v>
      </c>
      <c r="R12" s="4">
        <v>10.0</v>
      </c>
      <c r="S12" s="4">
        <v>11.0</v>
      </c>
      <c r="T12" s="4">
        <v>12.0</v>
      </c>
      <c r="U12" s="4">
        <v>13.0</v>
      </c>
      <c r="V12" s="4">
        <v>14.0</v>
      </c>
      <c r="W12" s="4">
        <v>15.0</v>
      </c>
      <c r="X12" s="4">
        <v>16.0</v>
      </c>
      <c r="Y12" s="4">
        <v>17.0</v>
      </c>
      <c r="Z12" s="4">
        <v>18.0</v>
      </c>
      <c r="AA12" s="4">
        <v>19.0</v>
      </c>
      <c r="AB12" s="4">
        <v>20.0</v>
      </c>
      <c r="AC12" s="4">
        <v>21.0</v>
      </c>
    </row>
    <row r="13">
      <c r="A13" s="6" t="s">
        <v>312</v>
      </c>
      <c r="B13" s="7" t="s">
        <v>222</v>
      </c>
      <c r="C13" s="7" t="s">
        <v>108</v>
      </c>
      <c r="D13" s="6" t="s">
        <v>264</v>
      </c>
      <c r="E13" s="6" t="s">
        <v>267</v>
      </c>
      <c r="F13" s="7" t="s">
        <v>35</v>
      </c>
      <c r="G13" s="7">
        <v>5.0</v>
      </c>
      <c r="H13" s="7">
        <f t="shared" ref="H13:H27" si="7">G13</f>
        <v>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6" t="s">
        <v>313</v>
      </c>
      <c r="B14" s="7" t="s">
        <v>222</v>
      </c>
      <c r="C14" s="7" t="s">
        <v>108</v>
      </c>
      <c r="D14" s="6" t="s">
        <v>264</v>
      </c>
      <c r="E14" s="6" t="s">
        <v>275</v>
      </c>
      <c r="F14" s="7" t="s">
        <v>35</v>
      </c>
      <c r="G14" s="7">
        <v>4.0</v>
      </c>
      <c r="H14" s="7">
        <f t="shared" si="7"/>
        <v>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6" t="s">
        <v>314</v>
      </c>
      <c r="B15" s="7" t="s">
        <v>225</v>
      </c>
      <c r="C15" s="7" t="s">
        <v>118</v>
      </c>
      <c r="D15" s="6" t="s">
        <v>264</v>
      </c>
      <c r="E15" s="6" t="s">
        <v>267</v>
      </c>
      <c r="F15" s="7" t="s">
        <v>35</v>
      </c>
      <c r="G15" s="7">
        <v>4.0</v>
      </c>
      <c r="H15" s="7">
        <f t="shared" si="7"/>
        <v>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6" t="s">
        <v>315</v>
      </c>
      <c r="B16" s="7" t="s">
        <v>225</v>
      </c>
      <c r="C16" s="7" t="s">
        <v>118</v>
      </c>
      <c r="D16" s="6" t="s">
        <v>264</v>
      </c>
      <c r="E16" s="6" t="s">
        <v>275</v>
      </c>
      <c r="F16" s="7" t="s">
        <v>35</v>
      </c>
      <c r="G16" s="7">
        <v>3.0</v>
      </c>
      <c r="H16" s="7">
        <f t="shared" si="7"/>
        <v>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6" t="s">
        <v>318</v>
      </c>
      <c r="B17" s="7" t="s">
        <v>228</v>
      </c>
      <c r="C17" s="7" t="s">
        <v>127</v>
      </c>
      <c r="D17" s="6" t="s">
        <v>264</v>
      </c>
      <c r="E17" s="6" t="s">
        <v>265</v>
      </c>
      <c r="F17" s="7" t="s">
        <v>35</v>
      </c>
      <c r="G17" s="7">
        <v>3.0</v>
      </c>
      <c r="H17" s="7">
        <f t="shared" si="7"/>
        <v>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6" t="s">
        <v>322</v>
      </c>
      <c r="B18" s="7" t="s">
        <v>228</v>
      </c>
      <c r="C18" s="7" t="s">
        <v>127</v>
      </c>
      <c r="D18" s="6" t="s">
        <v>264</v>
      </c>
      <c r="E18" s="6" t="s">
        <v>265</v>
      </c>
      <c r="F18" s="7" t="s">
        <v>35</v>
      </c>
      <c r="G18" s="7">
        <v>1.0</v>
      </c>
      <c r="H18" s="7">
        <f t="shared" si="7"/>
        <v>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6" t="s">
        <v>328</v>
      </c>
      <c r="B19" s="7" t="s">
        <v>231</v>
      </c>
      <c r="C19" s="7" t="s">
        <v>130</v>
      </c>
      <c r="D19" s="6" t="s">
        <v>264</v>
      </c>
      <c r="E19" s="6" t="s">
        <v>267</v>
      </c>
      <c r="F19" s="7" t="s">
        <v>35</v>
      </c>
      <c r="G19" s="7">
        <v>3.0</v>
      </c>
      <c r="H19" s="7">
        <f t="shared" si="7"/>
        <v>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6" t="s">
        <v>330</v>
      </c>
      <c r="B20" s="7" t="s">
        <v>231</v>
      </c>
      <c r="C20" s="7" t="s">
        <v>130</v>
      </c>
      <c r="D20" s="6" t="s">
        <v>264</v>
      </c>
      <c r="E20" s="6" t="s">
        <v>267</v>
      </c>
      <c r="F20" s="7" t="s">
        <v>35</v>
      </c>
      <c r="G20" s="7">
        <v>3.0</v>
      </c>
      <c r="H20" s="7">
        <f t="shared" si="7"/>
        <v>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6" t="s">
        <v>334</v>
      </c>
      <c r="B21" s="7" t="s">
        <v>234</v>
      </c>
      <c r="C21" s="7" t="s">
        <v>134</v>
      </c>
      <c r="D21" s="6" t="s">
        <v>264</v>
      </c>
      <c r="E21" s="6" t="s">
        <v>265</v>
      </c>
      <c r="F21" s="7" t="s">
        <v>35</v>
      </c>
      <c r="G21" s="7">
        <v>3.0</v>
      </c>
      <c r="H21" s="7">
        <f t="shared" si="7"/>
        <v>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6" t="s">
        <v>335</v>
      </c>
      <c r="B22" s="7" t="s">
        <v>234</v>
      </c>
      <c r="C22" s="7" t="s">
        <v>134</v>
      </c>
      <c r="D22" s="6" t="s">
        <v>264</v>
      </c>
      <c r="E22" s="6" t="s">
        <v>265</v>
      </c>
      <c r="F22" s="7" t="s">
        <v>35</v>
      </c>
      <c r="G22" s="7">
        <v>2.0</v>
      </c>
      <c r="H22" s="7">
        <f t="shared" si="7"/>
        <v>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6" t="s">
        <v>336</v>
      </c>
      <c r="B23" s="7" t="s">
        <v>237</v>
      </c>
      <c r="C23" s="7" t="s">
        <v>137</v>
      </c>
      <c r="D23" s="6" t="s">
        <v>264</v>
      </c>
      <c r="E23" s="6" t="s">
        <v>275</v>
      </c>
      <c r="F23" s="7" t="s">
        <v>35</v>
      </c>
      <c r="G23" s="7">
        <v>2.0</v>
      </c>
      <c r="H23" s="7">
        <f t="shared" si="7"/>
        <v>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6" t="s">
        <v>337</v>
      </c>
      <c r="B24" s="7" t="s">
        <v>240</v>
      </c>
      <c r="C24" s="7" t="s">
        <v>140</v>
      </c>
      <c r="D24" s="6" t="s">
        <v>264</v>
      </c>
      <c r="E24" s="6" t="s">
        <v>265</v>
      </c>
      <c r="F24" s="7" t="s">
        <v>35</v>
      </c>
      <c r="G24" s="7">
        <v>6.0</v>
      </c>
      <c r="H24" s="7">
        <f t="shared" si="7"/>
        <v>6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6" t="s">
        <v>338</v>
      </c>
      <c r="B25" s="7" t="s">
        <v>240</v>
      </c>
      <c r="C25" s="7" t="s">
        <v>140</v>
      </c>
      <c r="D25" s="6" t="s">
        <v>264</v>
      </c>
      <c r="E25" s="6" t="s">
        <v>275</v>
      </c>
      <c r="F25" s="7" t="s">
        <v>35</v>
      </c>
      <c r="G25" s="7">
        <v>3.0</v>
      </c>
      <c r="H25" s="7">
        <f t="shared" si="7"/>
        <v>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6" t="s">
        <v>339</v>
      </c>
      <c r="B26" s="7" t="s">
        <v>243</v>
      </c>
      <c r="C26" s="7" t="s">
        <v>143</v>
      </c>
      <c r="D26" s="6" t="s">
        <v>264</v>
      </c>
      <c r="E26" s="6" t="s">
        <v>289</v>
      </c>
      <c r="F26" s="7" t="s">
        <v>35</v>
      </c>
      <c r="G26" s="7">
        <v>2.0</v>
      </c>
      <c r="H26" s="7">
        <f t="shared" si="7"/>
        <v>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6" t="s">
        <v>340</v>
      </c>
      <c r="B27" s="7" t="s">
        <v>288</v>
      </c>
      <c r="C27" s="7" t="s">
        <v>288</v>
      </c>
      <c r="D27" s="6" t="s">
        <v>264</v>
      </c>
      <c r="E27" s="6" t="s">
        <v>289</v>
      </c>
      <c r="F27" s="7" t="s">
        <v>35</v>
      </c>
      <c r="G27" s="7">
        <v>3.0</v>
      </c>
      <c r="H27" s="7">
        <f t="shared" si="7"/>
        <v>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F28" s="13"/>
    </row>
    <row r="29" ht="15.75" customHeight="1">
      <c r="F29" s="13"/>
    </row>
    <row r="30" ht="15.75" customHeight="1">
      <c r="F30" s="13"/>
    </row>
    <row r="31" ht="15.75" customHeight="1">
      <c r="F31" s="13"/>
    </row>
    <row r="32" ht="15.75" customHeight="1">
      <c r="F32" s="13"/>
    </row>
    <row r="33" ht="15.75" customHeight="1">
      <c r="F33" s="13"/>
    </row>
    <row r="34" ht="15.75" customHeight="1">
      <c r="F34" s="13"/>
    </row>
    <row r="35" ht="15.75" customHeight="1">
      <c r="F35" s="13"/>
    </row>
    <row r="36" ht="15.75" customHeight="1">
      <c r="F36" s="13"/>
    </row>
    <row r="37" ht="15.75" customHeight="1">
      <c r="F37" s="13"/>
    </row>
    <row r="38" ht="15.75" customHeight="1">
      <c r="F38" s="13"/>
    </row>
    <row r="39" ht="15.75" customHeight="1">
      <c r="F39" s="13"/>
    </row>
    <row r="40" ht="15.75" customHeight="1">
      <c r="F40" s="13"/>
    </row>
    <row r="41" ht="15.75" customHeight="1">
      <c r="F41" s="13"/>
    </row>
    <row r="42" ht="15.75" customHeight="1">
      <c r="F42" s="13"/>
    </row>
    <row r="43" ht="15.75" customHeight="1"/>
    <row r="44" ht="15.75" customHeight="1">
      <c r="A44" s="2" t="s">
        <v>290</v>
      </c>
    </row>
    <row r="45" ht="15.75" hidden="1" customHeight="1">
      <c r="G45" s="17" t="s">
        <v>252</v>
      </c>
      <c r="H45" s="18">
        <f t="shared" ref="H45:AC45" si="8">IF(H5="",NA(),H5)</f>
        <v>47</v>
      </c>
      <c r="I45" s="17" t="str">
        <f t="shared" si="8"/>
        <v>#N/A</v>
      </c>
      <c r="J45" s="17" t="str">
        <f t="shared" si="8"/>
        <v>#N/A</v>
      </c>
      <c r="K45" s="17" t="str">
        <f t="shared" si="8"/>
        <v>#N/A</v>
      </c>
      <c r="L45" s="17" t="str">
        <f t="shared" si="8"/>
        <v>#N/A</v>
      </c>
      <c r="M45" s="17" t="str">
        <f t="shared" si="8"/>
        <v>#N/A</v>
      </c>
      <c r="N45" s="17" t="str">
        <f t="shared" si="8"/>
        <v>#N/A</v>
      </c>
      <c r="O45" s="17" t="str">
        <f t="shared" si="8"/>
        <v>#N/A</v>
      </c>
      <c r="P45" s="17" t="str">
        <f t="shared" si="8"/>
        <v>#N/A</v>
      </c>
      <c r="Q45" s="17" t="str">
        <f t="shared" si="8"/>
        <v>#N/A</v>
      </c>
      <c r="R45" s="17" t="str">
        <f t="shared" si="8"/>
        <v>#N/A</v>
      </c>
      <c r="S45" s="17" t="str">
        <f t="shared" si="8"/>
        <v>#N/A</v>
      </c>
      <c r="T45" s="17" t="str">
        <f t="shared" si="8"/>
        <v>#N/A</v>
      </c>
      <c r="U45" s="17" t="str">
        <f t="shared" si="8"/>
        <v>#N/A</v>
      </c>
      <c r="V45" s="17" t="str">
        <f t="shared" si="8"/>
        <v>#N/A</v>
      </c>
      <c r="W45" s="17" t="str">
        <f t="shared" si="8"/>
        <v>#N/A</v>
      </c>
      <c r="X45" s="17" t="str">
        <f t="shared" si="8"/>
        <v>#N/A</v>
      </c>
      <c r="Y45" s="17" t="str">
        <f t="shared" si="8"/>
        <v>#N/A</v>
      </c>
      <c r="Z45" s="17" t="str">
        <f t="shared" si="8"/>
        <v>#N/A</v>
      </c>
      <c r="AA45" s="17" t="str">
        <f t="shared" si="8"/>
        <v>#N/A</v>
      </c>
      <c r="AB45" s="17" t="str">
        <f t="shared" si="8"/>
        <v>#N/A</v>
      </c>
      <c r="AC45" s="17" t="str">
        <f t="shared" si="8"/>
        <v>#N/A</v>
      </c>
    </row>
    <row r="46" ht="15.75" hidden="1" customHeight="1">
      <c r="G46" s="17" t="s">
        <v>254</v>
      </c>
      <c r="H46" s="17" t="str">
        <f t="shared" ref="H46:AC46" si="9">IF(H6="",NA(),H6)</f>
        <v>#N/A</v>
      </c>
      <c r="I46" s="17" t="str">
        <f t="shared" si="9"/>
        <v>#N/A</v>
      </c>
      <c r="J46" s="17" t="str">
        <f t="shared" si="9"/>
        <v>#N/A</v>
      </c>
      <c r="K46" s="17" t="str">
        <f t="shared" si="9"/>
        <v>#N/A</v>
      </c>
      <c r="L46" s="17" t="str">
        <f t="shared" si="9"/>
        <v>#N/A</v>
      </c>
      <c r="M46" s="17" t="str">
        <f t="shared" si="9"/>
        <v>#N/A</v>
      </c>
      <c r="N46" s="17" t="str">
        <f t="shared" si="9"/>
        <v>#N/A</v>
      </c>
      <c r="O46" s="17" t="str">
        <f t="shared" si="9"/>
        <v>#N/A</v>
      </c>
      <c r="P46" s="17" t="str">
        <f t="shared" si="9"/>
        <v>#N/A</v>
      </c>
      <c r="Q46" s="17" t="str">
        <f t="shared" si="9"/>
        <v>#N/A</v>
      </c>
      <c r="R46" s="17" t="str">
        <f t="shared" si="9"/>
        <v>#N/A</v>
      </c>
      <c r="S46" s="17" t="str">
        <f t="shared" si="9"/>
        <v>#N/A</v>
      </c>
      <c r="T46" s="17" t="str">
        <f t="shared" si="9"/>
        <v>#N/A</v>
      </c>
      <c r="U46" s="17" t="str">
        <f t="shared" si="9"/>
        <v>#N/A</v>
      </c>
      <c r="V46" s="17" t="str">
        <f t="shared" si="9"/>
        <v>#N/A</v>
      </c>
      <c r="W46" s="17" t="str">
        <f t="shared" si="9"/>
        <v>#N/A</v>
      </c>
      <c r="X46" s="17" t="str">
        <f t="shared" si="9"/>
        <v>#N/A</v>
      </c>
      <c r="Y46" s="17" t="str">
        <f t="shared" si="9"/>
        <v>#N/A</v>
      </c>
      <c r="Z46" s="17" t="str">
        <f t="shared" si="9"/>
        <v>#N/A</v>
      </c>
      <c r="AA46" s="17" t="str">
        <f t="shared" si="9"/>
        <v>#N/A</v>
      </c>
      <c r="AB46" s="17" t="str">
        <f t="shared" si="9"/>
        <v>#N/A</v>
      </c>
      <c r="AC46" s="17" t="str">
        <f t="shared" si="9"/>
        <v>#N/A</v>
      </c>
    </row>
    <row r="47" ht="15.75" hidden="1" customHeight="1">
      <c r="G47" s="17" t="s">
        <v>255</v>
      </c>
      <c r="H47" s="18">
        <f t="shared" ref="H47:AC47" si="10">H7</f>
        <v>47</v>
      </c>
      <c r="I47" s="18">
        <f t="shared" si="10"/>
        <v>44.76190476</v>
      </c>
      <c r="J47" s="18">
        <f t="shared" si="10"/>
        <v>42.52380952</v>
      </c>
      <c r="K47" s="18">
        <f t="shared" si="10"/>
        <v>40.28571429</v>
      </c>
      <c r="L47" s="18">
        <f t="shared" si="10"/>
        <v>38.04761905</v>
      </c>
      <c r="M47" s="18">
        <f t="shared" si="10"/>
        <v>35.80952381</v>
      </c>
      <c r="N47" s="18">
        <f t="shared" si="10"/>
        <v>33.57142857</v>
      </c>
      <c r="O47" s="18">
        <f t="shared" si="10"/>
        <v>31.33333333</v>
      </c>
      <c r="P47" s="18">
        <f t="shared" si="10"/>
        <v>29.0952381</v>
      </c>
      <c r="Q47" s="18">
        <f t="shared" si="10"/>
        <v>26.85714286</v>
      </c>
      <c r="R47" s="18">
        <f t="shared" si="10"/>
        <v>24.61904762</v>
      </c>
      <c r="S47" s="18">
        <f t="shared" si="10"/>
        <v>22.38095238</v>
      </c>
      <c r="T47" s="18">
        <f t="shared" si="10"/>
        <v>20.14285714</v>
      </c>
      <c r="U47" s="18">
        <f t="shared" si="10"/>
        <v>17.9047619</v>
      </c>
      <c r="V47" s="18">
        <f t="shared" si="10"/>
        <v>15.66666667</v>
      </c>
      <c r="W47" s="18">
        <f t="shared" si="10"/>
        <v>13.42857143</v>
      </c>
      <c r="X47" s="18">
        <f t="shared" si="10"/>
        <v>11.19047619</v>
      </c>
      <c r="Y47" s="18">
        <f t="shared" si="10"/>
        <v>8.952380952</v>
      </c>
      <c r="Z47" s="18">
        <f t="shared" si="10"/>
        <v>6.714285714</v>
      </c>
      <c r="AA47" s="18">
        <f t="shared" si="10"/>
        <v>4.476190476</v>
      </c>
      <c r="AB47" s="18">
        <f t="shared" si="10"/>
        <v>2.238095238</v>
      </c>
      <c r="AC47" s="18">
        <f t="shared" si="10"/>
        <v>0</v>
      </c>
    </row>
    <row r="48" ht="15.75" hidden="1" customHeight="1">
      <c r="G48" s="17" t="s">
        <v>256</v>
      </c>
      <c r="H48" s="17">
        <f t="shared" ref="H48:AC48" si="11">IF(H8="",NA(),H8)</f>
        <v>15</v>
      </c>
      <c r="I48" s="17" t="str">
        <f t="shared" si="11"/>
        <v>#N/A</v>
      </c>
      <c r="J48" s="17" t="str">
        <f t="shared" si="11"/>
        <v>#N/A</v>
      </c>
      <c r="K48" s="17" t="str">
        <f t="shared" si="11"/>
        <v>#N/A</v>
      </c>
      <c r="L48" s="17" t="str">
        <f t="shared" si="11"/>
        <v>#N/A</v>
      </c>
      <c r="M48" s="17" t="str">
        <f t="shared" si="11"/>
        <v>#N/A</v>
      </c>
      <c r="N48" s="17" t="str">
        <f t="shared" si="11"/>
        <v>#N/A</v>
      </c>
      <c r="O48" s="17" t="str">
        <f t="shared" si="11"/>
        <v>#N/A</v>
      </c>
      <c r="P48" s="17" t="str">
        <f t="shared" si="11"/>
        <v>#N/A</v>
      </c>
      <c r="Q48" s="17" t="str">
        <f t="shared" si="11"/>
        <v>#N/A</v>
      </c>
      <c r="R48" s="17" t="str">
        <f t="shared" si="11"/>
        <v>#N/A</v>
      </c>
      <c r="S48" s="17" t="str">
        <f t="shared" si="11"/>
        <v>#N/A</v>
      </c>
      <c r="T48" s="17" t="str">
        <f t="shared" si="11"/>
        <v>#N/A</v>
      </c>
      <c r="U48" s="17" t="str">
        <f t="shared" si="11"/>
        <v>#N/A</v>
      </c>
      <c r="V48" s="17" t="str">
        <f t="shared" si="11"/>
        <v>#N/A</v>
      </c>
      <c r="W48" s="17" t="str">
        <f t="shared" si="11"/>
        <v>#N/A</v>
      </c>
      <c r="X48" s="17" t="str">
        <f t="shared" si="11"/>
        <v>#N/A</v>
      </c>
      <c r="Y48" s="17" t="str">
        <f t="shared" si="11"/>
        <v>#N/A</v>
      </c>
      <c r="Z48" s="17" t="str">
        <f t="shared" si="11"/>
        <v>#N/A</v>
      </c>
      <c r="AA48" s="17" t="str">
        <f t="shared" si="11"/>
        <v>#N/A</v>
      </c>
      <c r="AB48" s="17" t="str">
        <f t="shared" si="11"/>
        <v>#N/A</v>
      </c>
      <c r="AC48" s="17" t="str">
        <f t="shared" si="11"/>
        <v>#N/A</v>
      </c>
    </row>
    <row r="49" ht="15.75" hidden="1" customHeight="1">
      <c r="G49" s="17" t="s">
        <v>257</v>
      </c>
      <c r="H49" s="18">
        <f t="shared" ref="H49:AC49" si="12">H9</f>
        <v>15</v>
      </c>
      <c r="I49" s="18">
        <f t="shared" si="12"/>
        <v>14.28571429</v>
      </c>
      <c r="J49" s="18">
        <f t="shared" si="12"/>
        <v>13.57142857</v>
      </c>
      <c r="K49" s="18">
        <f t="shared" si="12"/>
        <v>12.85714286</v>
      </c>
      <c r="L49" s="18">
        <f t="shared" si="12"/>
        <v>12.14285714</v>
      </c>
      <c r="M49" s="18">
        <f t="shared" si="12"/>
        <v>11.42857143</v>
      </c>
      <c r="N49" s="18">
        <f t="shared" si="12"/>
        <v>10.71428571</v>
      </c>
      <c r="O49" s="18">
        <f t="shared" si="12"/>
        <v>10</v>
      </c>
      <c r="P49" s="18">
        <f t="shared" si="12"/>
        <v>9.285714286</v>
      </c>
      <c r="Q49" s="18">
        <f t="shared" si="12"/>
        <v>8.571428571</v>
      </c>
      <c r="R49" s="18">
        <f t="shared" si="12"/>
        <v>7.857142857</v>
      </c>
      <c r="S49" s="18">
        <f t="shared" si="12"/>
        <v>7.142857143</v>
      </c>
      <c r="T49" s="18">
        <f t="shared" si="12"/>
        <v>6.428571429</v>
      </c>
      <c r="U49" s="18">
        <f t="shared" si="12"/>
        <v>5.714285714</v>
      </c>
      <c r="V49" s="18">
        <f t="shared" si="12"/>
        <v>5</v>
      </c>
      <c r="W49" s="18">
        <f t="shared" si="12"/>
        <v>4.285714286</v>
      </c>
      <c r="X49" s="18">
        <f t="shared" si="12"/>
        <v>3.571428571</v>
      </c>
      <c r="Y49" s="18">
        <f t="shared" si="12"/>
        <v>2.857142857</v>
      </c>
      <c r="Z49" s="18">
        <f t="shared" si="12"/>
        <v>2.142857143</v>
      </c>
      <c r="AA49" s="18">
        <f t="shared" si="12"/>
        <v>1.428571429</v>
      </c>
      <c r="AB49" s="18">
        <f t="shared" si="12"/>
        <v>0.7142857143</v>
      </c>
      <c r="AC49" s="18">
        <f t="shared" si="12"/>
        <v>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13:F42">
      <formula1>"Planeado,En desarrollo,Terminado"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310</v>
      </c>
    </row>
    <row r="2">
      <c r="A2" s="2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311</v>
      </c>
    </row>
    <row r="2">
      <c r="A2" s="2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3" width="45.0"/>
    <col customWidth="1" min="4" max="4" width="24.0"/>
    <col customWidth="1" min="5" max="5" width="14.0"/>
    <col customWidth="1" min="6" max="6" width="10.0"/>
    <col customWidth="1" min="7" max="7" width="8.0"/>
    <col customWidth="1" min="8" max="8" width="10.0"/>
    <col customWidth="1" min="9" max="9" width="12.0"/>
    <col customWidth="1" min="10" max="26" width="8.71"/>
  </cols>
  <sheetData>
    <row r="1">
      <c r="A1" s="1" t="s">
        <v>316</v>
      </c>
    </row>
    <row r="2">
      <c r="A2" s="2" t="s">
        <v>317</v>
      </c>
    </row>
    <row r="3">
      <c r="A3" s="4" t="s">
        <v>319</v>
      </c>
      <c r="B3" s="4" t="s">
        <v>150</v>
      </c>
      <c r="C3" s="4" t="s">
        <v>320</v>
      </c>
      <c r="D3" s="4" t="s">
        <v>321</v>
      </c>
      <c r="E3" s="4" t="s">
        <v>15</v>
      </c>
      <c r="F3" s="4" t="s">
        <v>8</v>
      </c>
      <c r="G3" s="4" t="s">
        <v>323</v>
      </c>
      <c r="H3" s="4" t="s">
        <v>324</v>
      </c>
      <c r="I3" s="4" t="s">
        <v>258</v>
      </c>
    </row>
    <row r="4">
      <c r="A4" s="7" t="s">
        <v>325</v>
      </c>
      <c r="B4" s="6" t="s">
        <v>326</v>
      </c>
      <c r="C4" s="6" t="s">
        <v>327</v>
      </c>
      <c r="D4" s="6" t="s">
        <v>264</v>
      </c>
      <c r="E4" s="7" t="s">
        <v>329</v>
      </c>
      <c r="F4" s="7" t="s">
        <v>37</v>
      </c>
      <c r="G4" s="7">
        <v>1.0</v>
      </c>
      <c r="H4" s="7" t="s">
        <v>332</v>
      </c>
      <c r="I4" s="9">
        <v>46302.0</v>
      </c>
    </row>
    <row r="5">
      <c r="A5" s="7"/>
      <c r="B5" s="6"/>
      <c r="C5" s="6"/>
      <c r="D5" s="6"/>
      <c r="E5" s="7"/>
      <c r="F5" s="7"/>
      <c r="G5" s="7"/>
      <c r="H5" s="7"/>
      <c r="I5" s="9"/>
    </row>
    <row r="6">
      <c r="A6" s="7"/>
      <c r="B6" s="6"/>
      <c r="C6" s="6"/>
      <c r="D6" s="6"/>
      <c r="E6" s="7"/>
      <c r="F6" s="7"/>
      <c r="G6" s="7"/>
      <c r="H6" s="7"/>
      <c r="I6" s="9"/>
    </row>
    <row r="7">
      <c r="A7" s="7"/>
      <c r="B7" s="6"/>
      <c r="C7" s="6"/>
      <c r="D7" s="6"/>
      <c r="E7" s="7"/>
      <c r="F7" s="7"/>
      <c r="G7" s="7"/>
      <c r="H7" s="7"/>
      <c r="I7" s="9"/>
    </row>
    <row r="8">
      <c r="A8" s="7"/>
      <c r="B8" s="6"/>
      <c r="C8" s="6"/>
      <c r="D8" s="6"/>
      <c r="E8" s="7"/>
      <c r="F8" s="7"/>
      <c r="G8" s="7"/>
      <c r="H8" s="7"/>
      <c r="I8" s="9"/>
    </row>
    <row r="9">
      <c r="A9" s="7"/>
      <c r="B9" s="6"/>
      <c r="C9" s="6"/>
      <c r="D9" s="6"/>
      <c r="E9" s="7"/>
      <c r="F9" s="7"/>
      <c r="G9" s="7"/>
      <c r="H9" s="7"/>
      <c r="I9" s="9"/>
    </row>
    <row r="10">
      <c r="A10" s="7"/>
      <c r="B10" s="6"/>
      <c r="C10" s="6"/>
      <c r="D10" s="6"/>
      <c r="E10" s="7"/>
      <c r="F10" s="7"/>
      <c r="G10" s="7"/>
      <c r="H10" s="7"/>
      <c r="I10" s="9"/>
    </row>
    <row r="11">
      <c r="A11" s="7"/>
      <c r="B11" s="6"/>
      <c r="C11" s="6"/>
      <c r="D11" s="6"/>
      <c r="E11" s="7"/>
      <c r="F11" s="7"/>
      <c r="G11" s="7"/>
      <c r="H11" s="7"/>
      <c r="I11" s="9"/>
    </row>
    <row r="12">
      <c r="A12" s="7"/>
      <c r="B12" s="6"/>
      <c r="C12" s="6"/>
      <c r="D12" s="6"/>
      <c r="E12" s="7"/>
      <c r="F12" s="7"/>
      <c r="G12" s="7"/>
      <c r="H12" s="7"/>
      <c r="I12" s="9"/>
    </row>
    <row r="13">
      <c r="A13" s="7"/>
      <c r="B13" s="6"/>
      <c r="C13" s="6"/>
      <c r="D13" s="6"/>
      <c r="E13" s="7"/>
      <c r="F13" s="7"/>
      <c r="G13" s="7"/>
      <c r="H13" s="7"/>
      <c r="I13" s="9"/>
    </row>
    <row r="14">
      <c r="A14" s="7"/>
      <c r="B14" s="6"/>
      <c r="C14" s="6"/>
      <c r="D14" s="6"/>
      <c r="E14" s="7"/>
      <c r="F14" s="7"/>
      <c r="G14" s="7"/>
      <c r="H14" s="7"/>
      <c r="I14" s="9"/>
    </row>
    <row r="15">
      <c r="A15" s="7"/>
      <c r="B15" s="6"/>
      <c r="C15" s="6"/>
      <c r="D15" s="6"/>
      <c r="E15" s="7"/>
      <c r="F15" s="7"/>
      <c r="G15" s="7"/>
      <c r="H15" s="7"/>
      <c r="I15" s="9"/>
    </row>
    <row r="16">
      <c r="A16" s="7"/>
      <c r="B16" s="6"/>
      <c r="C16" s="6"/>
      <c r="D16" s="6"/>
      <c r="E16" s="7"/>
      <c r="F16" s="7"/>
      <c r="G16" s="7"/>
      <c r="H16" s="7"/>
      <c r="I16" s="9"/>
    </row>
    <row r="17">
      <c r="A17" s="7"/>
      <c r="B17" s="6"/>
      <c r="C17" s="6"/>
      <c r="D17" s="6"/>
      <c r="E17" s="7"/>
      <c r="F17" s="7"/>
      <c r="G17" s="7"/>
      <c r="H17" s="7"/>
      <c r="I17" s="9"/>
    </row>
    <row r="18">
      <c r="A18" s="7"/>
      <c r="B18" s="6"/>
      <c r="C18" s="6"/>
      <c r="D18" s="6"/>
      <c r="E18" s="7"/>
      <c r="F18" s="7"/>
      <c r="G18" s="7"/>
      <c r="H18" s="7"/>
      <c r="I18" s="9"/>
    </row>
    <row r="19">
      <c r="A19" s="7"/>
      <c r="B19" s="6"/>
      <c r="C19" s="6"/>
      <c r="D19" s="6"/>
      <c r="E19" s="7"/>
      <c r="F19" s="7"/>
      <c r="G19" s="7"/>
      <c r="H19" s="7"/>
      <c r="I19" s="9"/>
    </row>
    <row r="20">
      <c r="A20" s="7"/>
      <c r="B20" s="6"/>
      <c r="C20" s="6"/>
      <c r="D20" s="6"/>
      <c r="E20" s="7"/>
      <c r="F20" s="7"/>
      <c r="G20" s="7"/>
      <c r="H20" s="7"/>
      <c r="I20" s="9"/>
    </row>
    <row r="21" ht="15.75" customHeight="1">
      <c r="A21" s="7"/>
      <c r="B21" s="6"/>
      <c r="C21" s="6"/>
      <c r="D21" s="6"/>
      <c r="E21" s="7"/>
      <c r="F21" s="7"/>
      <c r="G21" s="7"/>
      <c r="H21" s="7"/>
      <c r="I21" s="9"/>
    </row>
    <row r="22" ht="15.75" customHeight="1">
      <c r="A22" s="7"/>
      <c r="B22" s="6"/>
      <c r="C22" s="6"/>
      <c r="D22" s="6"/>
      <c r="E22" s="7"/>
      <c r="F22" s="7"/>
      <c r="G22" s="7"/>
      <c r="H22" s="7"/>
      <c r="I22" s="9"/>
    </row>
    <row r="23" ht="15.75" customHeight="1">
      <c r="A23" s="7"/>
      <c r="B23" s="6"/>
      <c r="C23" s="6"/>
      <c r="D23" s="6"/>
      <c r="E23" s="7"/>
      <c r="F23" s="7"/>
      <c r="G23" s="7"/>
      <c r="H23" s="7"/>
      <c r="I23" s="9"/>
    </row>
    <row r="24" ht="15.75" customHeight="1">
      <c r="A24" s="7"/>
      <c r="B24" s="6"/>
      <c r="C24" s="6"/>
      <c r="D24" s="6"/>
      <c r="E24" s="7"/>
      <c r="F24" s="7"/>
      <c r="G24" s="7"/>
      <c r="H24" s="7"/>
      <c r="I24" s="9"/>
    </row>
    <row r="25" ht="15.75" customHeight="1">
      <c r="A25" s="7"/>
      <c r="B25" s="6"/>
      <c r="C25" s="6"/>
      <c r="D25" s="6"/>
      <c r="E25" s="7"/>
      <c r="F25" s="7"/>
      <c r="G25" s="7"/>
      <c r="H25" s="7"/>
      <c r="I25" s="9"/>
    </row>
    <row r="26" ht="15.75" customHeight="1">
      <c r="A26" s="7"/>
      <c r="B26" s="6"/>
      <c r="C26" s="6"/>
      <c r="D26" s="6"/>
      <c r="E26" s="7"/>
      <c r="F26" s="7"/>
      <c r="G26" s="7"/>
      <c r="H26" s="7"/>
      <c r="I26" s="9"/>
    </row>
    <row r="27" ht="15.75" customHeight="1">
      <c r="A27" s="7"/>
      <c r="B27" s="6"/>
      <c r="C27" s="6"/>
      <c r="D27" s="6"/>
      <c r="E27" s="7"/>
      <c r="F27" s="7"/>
      <c r="G27" s="7"/>
      <c r="H27" s="7"/>
      <c r="I27" s="9"/>
    </row>
    <row r="28" ht="15.75" customHeight="1">
      <c r="A28" s="7"/>
      <c r="B28" s="6"/>
      <c r="C28" s="6"/>
      <c r="D28" s="6"/>
      <c r="E28" s="7"/>
      <c r="F28" s="7"/>
      <c r="G28" s="7"/>
      <c r="H28" s="7"/>
      <c r="I28" s="9"/>
    </row>
    <row r="29" ht="15.75" customHeight="1">
      <c r="A29" s="7"/>
      <c r="B29" s="6"/>
      <c r="C29" s="6"/>
      <c r="D29" s="6"/>
      <c r="E29" s="7"/>
      <c r="F29" s="7"/>
      <c r="G29" s="7"/>
      <c r="H29" s="7"/>
      <c r="I29" s="9"/>
    </row>
    <row r="30" ht="15.75" customHeight="1">
      <c r="A30" s="7"/>
      <c r="B30" s="6"/>
      <c r="C30" s="6"/>
      <c r="D30" s="6"/>
      <c r="E30" s="7"/>
      <c r="F30" s="7"/>
      <c r="G30" s="7"/>
      <c r="H30" s="7"/>
      <c r="I30" s="9"/>
    </row>
    <row r="31" ht="15.75" customHeight="1">
      <c r="A31" s="7"/>
      <c r="B31" s="6"/>
      <c r="C31" s="6"/>
      <c r="D31" s="6"/>
      <c r="E31" s="7"/>
      <c r="F31" s="7"/>
      <c r="G31" s="7"/>
      <c r="H31" s="7"/>
      <c r="I31" s="9"/>
    </row>
    <row r="32" ht="15.75" customHeight="1">
      <c r="A32" s="7"/>
      <c r="B32" s="6"/>
      <c r="C32" s="6"/>
      <c r="D32" s="6"/>
      <c r="E32" s="7"/>
      <c r="F32" s="7"/>
      <c r="G32" s="7"/>
      <c r="H32" s="7"/>
      <c r="I32" s="9"/>
    </row>
    <row r="33" ht="15.75" customHeight="1">
      <c r="A33" s="7"/>
      <c r="B33" s="6"/>
      <c r="C33" s="6"/>
      <c r="D33" s="6"/>
      <c r="E33" s="7"/>
      <c r="F33" s="7"/>
      <c r="G33" s="7"/>
      <c r="H33" s="7"/>
      <c r="I33" s="9"/>
    </row>
    <row r="34" ht="15.75" customHeight="1">
      <c r="A34" s="7"/>
      <c r="B34" s="6"/>
      <c r="C34" s="6"/>
      <c r="D34" s="6"/>
      <c r="E34" s="7"/>
      <c r="F34" s="7"/>
      <c r="G34" s="7"/>
      <c r="H34" s="7"/>
      <c r="I34" s="9"/>
    </row>
    <row r="35" ht="15.75" customHeight="1">
      <c r="A35" s="7"/>
      <c r="B35" s="6"/>
      <c r="C35" s="6"/>
      <c r="D35" s="6"/>
      <c r="E35" s="7"/>
      <c r="F35" s="7"/>
      <c r="G35" s="7"/>
      <c r="H35" s="7"/>
      <c r="I35" s="9"/>
    </row>
    <row r="36" ht="15.75" customHeight="1">
      <c r="A36" s="7"/>
      <c r="B36" s="6"/>
      <c r="C36" s="6"/>
      <c r="D36" s="6"/>
      <c r="E36" s="7"/>
      <c r="F36" s="7"/>
      <c r="G36" s="7"/>
      <c r="H36" s="7"/>
      <c r="I36" s="9"/>
    </row>
    <row r="37" ht="15.75" customHeight="1">
      <c r="A37" s="7"/>
      <c r="B37" s="6"/>
      <c r="C37" s="6"/>
      <c r="D37" s="6"/>
      <c r="E37" s="7"/>
      <c r="F37" s="7"/>
      <c r="G37" s="7"/>
      <c r="H37" s="7"/>
      <c r="I37" s="9"/>
    </row>
    <row r="38" ht="15.75" customHeight="1">
      <c r="A38" s="7"/>
      <c r="B38" s="6"/>
      <c r="C38" s="6"/>
      <c r="D38" s="6"/>
      <c r="E38" s="7"/>
      <c r="F38" s="7"/>
      <c r="G38" s="7"/>
      <c r="H38" s="7"/>
      <c r="I38" s="9"/>
    </row>
    <row r="39" ht="15.75" customHeight="1">
      <c r="A39" s="7"/>
      <c r="B39" s="6"/>
      <c r="C39" s="6"/>
      <c r="D39" s="6"/>
      <c r="E39" s="7"/>
      <c r="F39" s="7"/>
      <c r="G39" s="7"/>
      <c r="H39" s="7"/>
      <c r="I39" s="9"/>
    </row>
    <row r="40" ht="15.75" customHeight="1">
      <c r="A40" s="7"/>
      <c r="B40" s="6"/>
      <c r="C40" s="6"/>
      <c r="D40" s="6"/>
      <c r="E40" s="7"/>
      <c r="F40" s="7"/>
      <c r="G40" s="7"/>
      <c r="H40" s="7"/>
      <c r="I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4:H40">
      <formula1>"Alta,Media,Baja"</formula1>
    </dataValidation>
    <dataValidation type="list" allowBlank="1" sqref="G4:G40">
      <formula1>"1,2,3,Beta"</formula1>
    </dataValidation>
    <dataValidation type="list" allowBlank="1" sqref="E4:E40">
      <formula1>"Abierto,En corrección,Resuelto,Cerrado"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12.0"/>
    <col customWidth="1" min="4" max="4" width="10.0"/>
    <col customWidth="1" min="5" max="5" width="11.0"/>
    <col customWidth="1" min="6" max="6" width="10.0"/>
    <col customWidth="1" min="7" max="7" width="3.0"/>
    <col customWidth="1" min="8" max="8" width="12.0"/>
    <col customWidth="1" min="9" max="9" width="10.0"/>
    <col customWidth="1" min="10" max="10" width="12.0"/>
    <col customWidth="1" min="11" max="11" width="10.0"/>
    <col customWidth="1" min="12" max="12" width="11.0"/>
    <col customWidth="1" min="13" max="13" width="10.0"/>
    <col customWidth="1" min="14" max="26" width="8.71"/>
  </cols>
  <sheetData>
    <row r="1">
      <c r="A1" s="1" t="s">
        <v>331</v>
      </c>
    </row>
    <row r="2">
      <c r="A2" s="2" t="s">
        <v>333</v>
      </c>
    </row>
    <row r="4" ht="30.0" customHeight="1">
      <c r="A4" s="5" t="s">
        <v>8</v>
      </c>
      <c r="B4" s="6" t="str">
        <f>'Sprint 1 Backlog'!C13</f>
        <v>F01</v>
      </c>
      <c r="C4" s="5" t="s">
        <v>11</v>
      </c>
      <c r="D4" s="19" t="str">
        <f t="array" ref="D4">IFERROR(INDEX('Feature Log'!$B$4:$B$60,MATCH('Sprint 1 Backlog'!C13,'Feature Log'!$A$4:$A$60,0)),"Pruebas Alfa del sprint")</f>
        <v>Configuración del proyecto y recursos abiertos</v>
      </c>
      <c r="E4" s="20"/>
      <c r="F4" s="20"/>
      <c r="H4" s="5" t="s">
        <v>8</v>
      </c>
      <c r="I4" s="6" t="str">
        <f>'Sprint 1 Backlog'!C14</f>
        <v>F01</v>
      </c>
      <c r="J4" s="5" t="s">
        <v>11</v>
      </c>
      <c r="K4" s="19" t="str">
        <f t="array" ref="K4">IFERROR(INDEX('Feature Log'!$B$4:$B$60,MATCH('Sprint 1 Backlog'!C14,'Feature Log'!$A$4:$A$60,0)),"Pruebas Alfa del sprint")</f>
        <v>Configuración del proyecto y recursos abiertos</v>
      </c>
      <c r="L4" s="20"/>
      <c r="M4" s="20"/>
    </row>
    <row r="5" ht="30.0" customHeight="1">
      <c r="A5" s="5" t="s">
        <v>341</v>
      </c>
      <c r="B5" s="19" t="str">
        <f>'Sprint 1 Backlog'!A13</f>
        <v>Crear proyecto Unity 6 LTS 2D (URP) y repositorio en GitHub</v>
      </c>
      <c r="C5" s="20"/>
      <c r="D5" s="20"/>
      <c r="E5" s="20"/>
      <c r="F5" s="20"/>
      <c r="H5" s="5" t="s">
        <v>341</v>
      </c>
      <c r="I5" s="19" t="str">
        <f>'Sprint 1 Backlog'!A14</f>
        <v>Descargar e importar recursos abiertos y registrar licencias</v>
      </c>
      <c r="J5" s="20"/>
      <c r="K5" s="20"/>
      <c r="L5" s="20"/>
      <c r="M5" s="20"/>
    </row>
    <row r="6" ht="30.0" customHeight="1">
      <c r="A6" s="5" t="s">
        <v>260</v>
      </c>
      <c r="B6" s="19" t="str">
        <f>'Sprint 1 Backlog'!D13</f>
        <v>Fortino Romero Mantilla</v>
      </c>
      <c r="C6" s="20"/>
      <c r="D6" s="20"/>
      <c r="E6" s="20"/>
      <c r="F6" s="20"/>
      <c r="H6" s="5" t="s">
        <v>260</v>
      </c>
      <c r="I6" s="19" t="str">
        <f>'Sprint 1 Backlog'!D14</f>
        <v>Fortino Romero Mantilla</v>
      </c>
      <c r="J6" s="20"/>
      <c r="K6" s="20"/>
      <c r="L6" s="20"/>
      <c r="M6" s="20"/>
    </row>
    <row r="7" ht="30.0" customHeight="1">
      <c r="A7" s="5" t="s">
        <v>342</v>
      </c>
      <c r="B7" s="6">
        <f>'Sprint 1 Backlog'!G13</f>
        <v>2</v>
      </c>
      <c r="C7" s="5" t="s">
        <v>343</v>
      </c>
      <c r="D7" s="6">
        <f>'Sprint 1 Backlog'!G13-F7</f>
        <v>0</v>
      </c>
      <c r="E7" s="5" t="s">
        <v>344</v>
      </c>
      <c r="F7" s="6">
        <f t="array" ref="F7">INDEX('Sprint 1 Backlog'!H13:AC13,COUNT('Sprint 1 Backlog'!H13:AC13))</f>
        <v>2</v>
      </c>
      <c r="H7" s="5" t="s">
        <v>342</v>
      </c>
      <c r="I7" s="6">
        <f>'Sprint 1 Backlog'!G14</f>
        <v>3</v>
      </c>
      <c r="J7" s="5" t="s">
        <v>343</v>
      </c>
      <c r="K7" s="6">
        <f>'Sprint 1 Backlog'!G14-M7</f>
        <v>0</v>
      </c>
      <c r="L7" s="5" t="s">
        <v>344</v>
      </c>
      <c r="M7" s="6">
        <f t="array" ref="M7">INDEX('Sprint 1 Backlog'!H14:AC14,COUNT('Sprint 1 Backlog'!H14:AC14))</f>
        <v>3</v>
      </c>
    </row>
    <row r="10" ht="30.0" customHeight="1">
      <c r="A10" s="5" t="s">
        <v>8</v>
      </c>
      <c r="B10" s="6" t="str">
        <f>'Sprint 1 Backlog'!C15</f>
        <v>F02</v>
      </c>
      <c r="C10" s="5" t="s">
        <v>11</v>
      </c>
      <c r="D10" s="19" t="str">
        <f t="array" ref="D10">IFERROR(INDEX('Feature Log'!$B$4:$B$60,MATCH('Sprint 1 Backlog'!C15,'Feature Log'!$A$4:$A$60,0)),"Pruebas Alfa del sprint")</f>
        <v>Movimiento de Ámbar (vista cenital)</v>
      </c>
      <c r="E10" s="20"/>
      <c r="F10" s="20"/>
      <c r="H10" s="5" t="s">
        <v>8</v>
      </c>
      <c r="I10" s="6" t="str">
        <f>'Sprint 1 Backlog'!C16</f>
        <v>F02</v>
      </c>
      <c r="J10" s="5" t="s">
        <v>11</v>
      </c>
      <c r="K10" s="19" t="str">
        <f t="array" ref="K10">IFERROR(INDEX('Feature Log'!$B$4:$B$60,MATCH('Sprint 1 Backlog'!C16,'Feature Log'!$A$4:$A$60,0)),"Pruebas Alfa del sprint")</f>
        <v>Movimiento de Ámbar (vista cenital)</v>
      </c>
      <c r="L10" s="20"/>
      <c r="M10" s="20"/>
    </row>
    <row r="11" ht="30.0" customHeight="1">
      <c r="A11" s="5" t="s">
        <v>341</v>
      </c>
      <c r="B11" s="19" t="str">
        <f>'Sprint 1 Backlog'!A15</f>
        <v>Configurar Input System (teclado, mouse y gamepad)</v>
      </c>
      <c r="C11" s="20"/>
      <c r="D11" s="20"/>
      <c r="E11" s="20"/>
      <c r="F11" s="20"/>
      <c r="H11" s="5" t="s">
        <v>341</v>
      </c>
      <c r="I11" s="19" t="str">
        <f>'Sprint 1 Backlog'!A16</f>
        <v>Programar movimiento y animaciones de Ámbar</v>
      </c>
      <c r="J11" s="20"/>
      <c r="K11" s="20"/>
      <c r="L11" s="20"/>
      <c r="M11" s="20"/>
    </row>
    <row r="12" ht="30.0" customHeight="1">
      <c r="A12" s="5" t="s">
        <v>260</v>
      </c>
      <c r="B12" s="19" t="str">
        <f>'Sprint 1 Backlog'!D15</f>
        <v>Fortino Romero Mantilla</v>
      </c>
      <c r="C12" s="20"/>
      <c r="D12" s="20"/>
      <c r="E12" s="20"/>
      <c r="F12" s="20"/>
      <c r="H12" s="5" t="s">
        <v>260</v>
      </c>
      <c r="I12" s="19" t="str">
        <f>'Sprint 1 Backlog'!D16</f>
        <v>Fortino Romero Mantilla</v>
      </c>
      <c r="J12" s="20"/>
      <c r="K12" s="20"/>
      <c r="L12" s="20"/>
      <c r="M12" s="20"/>
    </row>
    <row r="13" ht="30.0" customHeight="1">
      <c r="A13" s="5" t="s">
        <v>342</v>
      </c>
      <c r="B13" s="6">
        <f>'Sprint 1 Backlog'!G15</f>
        <v>2</v>
      </c>
      <c r="C13" s="5" t="s">
        <v>343</v>
      </c>
      <c r="D13" s="6">
        <f>'Sprint 1 Backlog'!G15-F13</f>
        <v>0</v>
      </c>
      <c r="E13" s="5" t="s">
        <v>344</v>
      </c>
      <c r="F13" s="6">
        <f t="array" ref="F13">INDEX('Sprint 1 Backlog'!H15:AC15,COUNT('Sprint 1 Backlog'!H15:AC15))</f>
        <v>2</v>
      </c>
      <c r="H13" s="5" t="s">
        <v>342</v>
      </c>
      <c r="I13" s="6">
        <f>'Sprint 1 Backlog'!G16</f>
        <v>5</v>
      </c>
      <c r="J13" s="5" t="s">
        <v>343</v>
      </c>
      <c r="K13" s="6">
        <f>'Sprint 1 Backlog'!G16-M13</f>
        <v>0</v>
      </c>
      <c r="L13" s="5" t="s">
        <v>344</v>
      </c>
      <c r="M13" s="6">
        <f t="array" ref="M13">INDEX('Sprint 1 Backlog'!H16:AC16,COUNT('Sprint 1 Backlog'!H16:AC16))</f>
        <v>5</v>
      </c>
    </row>
    <row r="16" ht="30.0" customHeight="1">
      <c r="A16" s="5" t="s">
        <v>8</v>
      </c>
      <c r="B16" s="6" t="str">
        <f>'Sprint 1 Backlog'!C17</f>
        <v>F02</v>
      </c>
      <c r="C16" s="5" t="s">
        <v>11</v>
      </c>
      <c r="D16" s="19" t="str">
        <f t="array" ref="D16">IFERROR(INDEX('Feature Log'!$B$4:$B$60,MATCH('Sprint 1 Backlog'!C17,'Feature Log'!$A$4:$A$60,0)),"Pruebas Alfa del sprint")</f>
        <v>Movimiento de Ámbar (vista cenital)</v>
      </c>
      <c r="E16" s="20"/>
      <c r="F16" s="20"/>
      <c r="H16" s="5" t="s">
        <v>8</v>
      </c>
      <c r="I16" s="6" t="str">
        <f>'Sprint 1 Backlog'!C18</f>
        <v>F03</v>
      </c>
      <c r="J16" s="5" t="s">
        <v>11</v>
      </c>
      <c r="K16" s="19" t="str">
        <f t="array" ref="K16">IFERROR(INDEX('Feature Log'!$B$4:$B$60,MATCH('Sprint 1 Backlog'!C18,'Feature Log'!$A$4:$A$60,0)),"Pruebas Alfa del sprint")</f>
        <v>Cámara pixel perfect con seguimiento</v>
      </c>
      <c r="L16" s="20"/>
      <c r="M16" s="20"/>
    </row>
    <row r="17" ht="30.0" customHeight="1">
      <c r="A17" s="5" t="s">
        <v>341</v>
      </c>
      <c r="B17" s="19" t="str">
        <f>'Sprint 1 Backlog'!A17</f>
        <v>Configurar colisiones con Tilemap</v>
      </c>
      <c r="C17" s="20"/>
      <c r="D17" s="20"/>
      <c r="E17" s="20"/>
      <c r="F17" s="20"/>
      <c r="H17" s="5" t="s">
        <v>341</v>
      </c>
      <c r="I17" s="19" t="str">
        <f>'Sprint 1 Backlog'!A18</f>
        <v>Configurar Pixel Perfect Camera y Cinemachine</v>
      </c>
      <c r="J17" s="20"/>
      <c r="K17" s="20"/>
      <c r="L17" s="20"/>
      <c r="M17" s="20"/>
    </row>
    <row r="18" ht="30.0" customHeight="1">
      <c r="A18" s="5" t="s">
        <v>260</v>
      </c>
      <c r="B18" s="19" t="str">
        <f>'Sprint 1 Backlog'!D17</f>
        <v>Fortino Romero Mantilla</v>
      </c>
      <c r="C18" s="20"/>
      <c r="D18" s="20"/>
      <c r="E18" s="20"/>
      <c r="F18" s="20"/>
      <c r="H18" s="5" t="s">
        <v>260</v>
      </c>
      <c r="I18" s="19" t="str">
        <f>'Sprint 1 Backlog'!D18</f>
        <v>Fortino Romero Mantilla</v>
      </c>
      <c r="J18" s="20"/>
      <c r="K18" s="20"/>
      <c r="L18" s="20"/>
      <c r="M18" s="20"/>
    </row>
    <row r="19" ht="30.0" customHeight="1">
      <c r="A19" s="5" t="s">
        <v>342</v>
      </c>
      <c r="B19" s="6">
        <f>'Sprint 1 Backlog'!G17</f>
        <v>2</v>
      </c>
      <c r="C19" s="5" t="s">
        <v>343</v>
      </c>
      <c r="D19" s="6">
        <f>'Sprint 1 Backlog'!G17-F19</f>
        <v>0</v>
      </c>
      <c r="E19" s="5" t="s">
        <v>344</v>
      </c>
      <c r="F19" s="6">
        <f t="array" ref="F19">INDEX('Sprint 1 Backlog'!H17:AC17,COUNT('Sprint 1 Backlog'!H17:AC17))</f>
        <v>2</v>
      </c>
      <c r="H19" s="5" t="s">
        <v>342</v>
      </c>
      <c r="I19" s="6">
        <f>'Sprint 1 Backlog'!G18</f>
        <v>2</v>
      </c>
      <c r="J19" s="5" t="s">
        <v>343</v>
      </c>
      <c r="K19" s="6">
        <f>'Sprint 1 Backlog'!G18-M19</f>
        <v>0</v>
      </c>
      <c r="L19" s="5" t="s">
        <v>344</v>
      </c>
      <c r="M19" s="6">
        <f t="array" ref="M19">INDEX('Sprint 1 Backlog'!H18:AC18,COUNT('Sprint 1 Backlog'!H18:AC18))</f>
        <v>2</v>
      </c>
    </row>
    <row r="21" ht="15.75" customHeight="1"/>
    <row r="22" ht="30.0" customHeight="1">
      <c r="A22" s="5" t="s">
        <v>8</v>
      </c>
      <c r="B22" s="6" t="str">
        <f>'Sprint 1 Backlog'!C19</f>
        <v>F04</v>
      </c>
      <c r="C22" s="5" t="s">
        <v>11</v>
      </c>
      <c r="D22" s="19" t="str">
        <f t="array" ref="D22">IFERROR(INDEX('Feature Log'!$B$4:$B$60,MATCH('Sprint 1 Backlog'!C19,'Feature Log'!$A$4:$A$60,0)),"Pruebas Alfa del sprint")</f>
        <v>Sistema de interacción</v>
      </c>
      <c r="E22" s="20"/>
      <c r="F22" s="20"/>
      <c r="H22" s="5" t="s">
        <v>8</v>
      </c>
      <c r="I22" s="6" t="str">
        <f>'Sprint 1 Backlog'!C20</f>
        <v>F05</v>
      </c>
      <c r="J22" s="5" t="s">
        <v>11</v>
      </c>
      <c r="K22" s="19" t="str">
        <f t="array" ref="K22">IFERROR(INDEX('Feature Log'!$B$4:$B$60,MATCH('Sprint 1 Backlog'!C20,'Feature Log'!$A$4:$A$60,0)),"Pruebas Alfa del sprint")</f>
        <v>Sistema de diálogos (Yarn Spinner)</v>
      </c>
      <c r="L22" s="20"/>
      <c r="M22" s="20"/>
    </row>
    <row r="23" ht="30.0" customHeight="1">
      <c r="A23" s="5" t="s">
        <v>341</v>
      </c>
      <c r="B23" s="19" t="str">
        <f>'Sprint 1 Backlog'!A19</f>
        <v>Programar sistema de interacción y aviso</v>
      </c>
      <c r="C23" s="20"/>
      <c r="D23" s="20"/>
      <c r="E23" s="20"/>
      <c r="F23" s="20"/>
      <c r="H23" s="5" t="s">
        <v>341</v>
      </c>
      <c r="I23" s="19" t="str">
        <f>'Sprint 1 Backlog'!A20</f>
        <v>Integrar Yarn Spinner y caja de diálogo</v>
      </c>
      <c r="J23" s="20"/>
      <c r="K23" s="20"/>
      <c r="L23" s="20"/>
      <c r="M23" s="20"/>
    </row>
    <row r="24" ht="30.0" customHeight="1">
      <c r="A24" s="5" t="s">
        <v>260</v>
      </c>
      <c r="B24" s="19" t="str">
        <f>'Sprint 1 Backlog'!D19</f>
        <v>Fortino Romero Mantilla</v>
      </c>
      <c r="C24" s="20"/>
      <c r="D24" s="20"/>
      <c r="E24" s="20"/>
      <c r="F24" s="20"/>
      <c r="H24" s="5" t="s">
        <v>260</v>
      </c>
      <c r="I24" s="19" t="str">
        <f>'Sprint 1 Backlog'!D20</f>
        <v>Fortino Romero Mantilla</v>
      </c>
      <c r="J24" s="20"/>
      <c r="K24" s="20"/>
      <c r="L24" s="20"/>
      <c r="M24" s="20"/>
    </row>
    <row r="25" ht="30.0" customHeight="1">
      <c r="A25" s="5" t="s">
        <v>342</v>
      </c>
      <c r="B25" s="6">
        <f>'Sprint 1 Backlog'!G19</f>
        <v>4</v>
      </c>
      <c r="C25" s="5" t="s">
        <v>343</v>
      </c>
      <c r="D25" s="6">
        <f>'Sprint 1 Backlog'!G19-F25</f>
        <v>0</v>
      </c>
      <c r="E25" s="5" t="s">
        <v>344</v>
      </c>
      <c r="F25" s="6">
        <f t="array" ref="F25">INDEX('Sprint 1 Backlog'!H19:AC19,COUNT('Sprint 1 Backlog'!H19:AC19))</f>
        <v>4</v>
      </c>
      <c r="H25" s="5" t="s">
        <v>342</v>
      </c>
      <c r="I25" s="6">
        <f>'Sprint 1 Backlog'!G20</f>
        <v>5</v>
      </c>
      <c r="J25" s="5" t="s">
        <v>343</v>
      </c>
      <c r="K25" s="6">
        <f>'Sprint 1 Backlog'!G20-M25</f>
        <v>0</v>
      </c>
      <c r="L25" s="5" t="s">
        <v>344</v>
      </c>
      <c r="M25" s="6">
        <f t="array" ref="M25">INDEX('Sprint 1 Backlog'!H20:AC20,COUNT('Sprint 1 Backlog'!H20:AC20))</f>
        <v>5</v>
      </c>
    </row>
    <row r="26" ht="15.75" customHeight="1"/>
    <row r="27" ht="15.75" customHeight="1"/>
    <row r="28" ht="30.0" customHeight="1">
      <c r="A28" s="5" t="s">
        <v>8</v>
      </c>
      <c r="B28" s="6" t="str">
        <f>'Sprint 1 Backlog'!C21</f>
        <v>F05</v>
      </c>
      <c r="C28" s="5" t="s">
        <v>11</v>
      </c>
      <c r="D28" s="19" t="str">
        <f t="array" ref="D28">IFERROR(INDEX('Feature Log'!$B$4:$B$60,MATCH('Sprint 1 Backlog'!C21,'Feature Log'!$A$4:$A$60,0)),"Pruebas Alfa del sprint")</f>
        <v>Sistema de diálogos (Yarn Spinner)</v>
      </c>
      <c r="E28" s="20"/>
      <c r="F28" s="20"/>
      <c r="H28" s="5" t="s">
        <v>8</v>
      </c>
      <c r="I28" s="6" t="str">
        <f>'Sprint 1 Backlog'!C22</f>
        <v>F06</v>
      </c>
      <c r="J28" s="5" t="s">
        <v>11</v>
      </c>
      <c r="K28" s="19" t="str">
        <f t="array" ref="K28">IFERROR(INDEX('Feature Log'!$B$4:$B$60,MATCH('Sprint 1 Backlog'!C22,'Feature Log'!$A$4:$A$60,0)),"Pruebas Alfa del sprint")</f>
        <v>Mapa 0: La ofrenda (prólogo y tutorial)</v>
      </c>
      <c r="L28" s="20"/>
      <c r="M28" s="20"/>
    </row>
    <row r="29" ht="30.0" customHeight="1">
      <c r="A29" s="5" t="s">
        <v>341</v>
      </c>
      <c r="B29" s="19" t="str">
        <f>'Sprint 1 Backlog'!A21</f>
        <v>Escribir diálogos del prólogo en Yarn</v>
      </c>
      <c r="C29" s="20"/>
      <c r="D29" s="20"/>
      <c r="E29" s="20"/>
      <c r="F29" s="20"/>
      <c r="H29" s="5" t="s">
        <v>341</v>
      </c>
      <c r="I29" s="19" t="str">
        <f>'Sprint 1 Backlog'!A22</f>
        <v>Construir Tilemap de la ofrenda (sala, cocina y patio)</v>
      </c>
      <c r="J29" s="20"/>
      <c r="K29" s="20"/>
      <c r="L29" s="20"/>
      <c r="M29" s="20"/>
    </row>
    <row r="30" ht="30.0" customHeight="1">
      <c r="A30" s="5" t="s">
        <v>260</v>
      </c>
      <c r="B30" s="19" t="str">
        <f>'Sprint 1 Backlog'!D21</f>
        <v>Fortino Romero Mantilla</v>
      </c>
      <c r="C30" s="20"/>
      <c r="D30" s="20"/>
      <c r="E30" s="20"/>
      <c r="F30" s="20"/>
      <c r="H30" s="5" t="s">
        <v>260</v>
      </c>
      <c r="I30" s="19" t="str">
        <f>'Sprint 1 Backlog'!D22</f>
        <v>Fortino Romero Mantilla</v>
      </c>
      <c r="J30" s="20"/>
      <c r="K30" s="20"/>
      <c r="L30" s="20"/>
      <c r="M30" s="20"/>
    </row>
    <row r="31" ht="30.0" customHeight="1">
      <c r="A31" s="5" t="s">
        <v>342</v>
      </c>
      <c r="B31" s="6">
        <f>'Sprint 1 Backlog'!G21</f>
        <v>3</v>
      </c>
      <c r="C31" s="5" t="s">
        <v>343</v>
      </c>
      <c r="D31" s="6">
        <f>'Sprint 1 Backlog'!G21-F31</f>
        <v>0</v>
      </c>
      <c r="E31" s="5" t="s">
        <v>344</v>
      </c>
      <c r="F31" s="6">
        <f t="array" ref="F31">INDEX('Sprint 1 Backlog'!H21:AC21,COUNT('Sprint 1 Backlog'!H21:AC21))</f>
        <v>3</v>
      </c>
      <c r="H31" s="5" t="s">
        <v>342</v>
      </c>
      <c r="I31" s="6">
        <f>'Sprint 1 Backlog'!G22</f>
        <v>5</v>
      </c>
      <c r="J31" s="5" t="s">
        <v>343</v>
      </c>
      <c r="K31" s="6">
        <f>'Sprint 1 Backlog'!G22-M31</f>
        <v>0</v>
      </c>
      <c r="L31" s="5" t="s">
        <v>344</v>
      </c>
      <c r="M31" s="6">
        <f t="array" ref="M31">INDEX('Sprint 1 Backlog'!H22:AC22,COUNT('Sprint 1 Backlog'!H22:AC22))</f>
        <v>5</v>
      </c>
    </row>
    <row r="32" ht="15.75" customHeight="1"/>
    <row r="33" ht="15.75" customHeight="1"/>
    <row r="34" ht="30.0" customHeight="1">
      <c r="A34" s="5" t="s">
        <v>8</v>
      </c>
      <c r="B34" s="6" t="str">
        <f>'Sprint 1 Backlog'!C23</f>
        <v>F06</v>
      </c>
      <c r="C34" s="5" t="s">
        <v>11</v>
      </c>
      <c r="D34" s="19" t="str">
        <f t="array" ref="D34">IFERROR(INDEX('Feature Log'!$B$4:$B$60,MATCH('Sprint 1 Backlog'!C23,'Feature Log'!$A$4:$A$60,0)),"Pruebas Alfa del sprint")</f>
        <v>Mapa 0: La ofrenda (prólogo y tutorial)</v>
      </c>
      <c r="E34" s="20"/>
      <c r="F34" s="20"/>
      <c r="H34" s="5" t="s">
        <v>8</v>
      </c>
      <c r="I34" s="6" t="str">
        <f>'Sprint 1 Backlog'!C24</f>
        <v>F07</v>
      </c>
      <c r="J34" s="5" t="s">
        <v>11</v>
      </c>
      <c r="K34" s="19" t="str">
        <f t="array" ref="K34">IFERROR(INDEX('Feature Log'!$B$4:$B$60,MATCH('Sprint 1 Backlog'!C24,'Feature Log'!$A$4:$A$60,0)),"Pruebas Alfa del sprint")</f>
        <v>Fragmentos de memoria</v>
      </c>
      <c r="L34" s="20"/>
      <c r="M34" s="20"/>
    </row>
    <row r="35" ht="30.0" customHeight="1">
      <c r="A35" s="5" t="s">
        <v>341</v>
      </c>
      <c r="B35" s="19" t="str">
        <f>'Sprint 1 Backlog'!A23</f>
        <v>Colocar objetos, NPC y disparadores del tutorial</v>
      </c>
      <c r="C35" s="20"/>
      <c r="D35" s="20"/>
      <c r="E35" s="20"/>
      <c r="F35" s="20"/>
      <c r="H35" s="5" t="s">
        <v>341</v>
      </c>
      <c r="I35" s="19" t="str">
        <f>'Sprint 1 Backlog'!A24</f>
        <v>Programar recolección y contador de fragmentos</v>
      </c>
      <c r="J35" s="20"/>
      <c r="K35" s="20"/>
      <c r="L35" s="20"/>
      <c r="M35" s="20"/>
    </row>
    <row r="36" ht="30.0" customHeight="1">
      <c r="A36" s="5" t="s">
        <v>260</v>
      </c>
      <c r="B36" s="19" t="str">
        <f>'Sprint 1 Backlog'!D23</f>
        <v>Fortino Romero Mantilla</v>
      </c>
      <c r="C36" s="20"/>
      <c r="D36" s="20"/>
      <c r="E36" s="20"/>
      <c r="F36" s="20"/>
      <c r="H36" s="5" t="s">
        <v>260</v>
      </c>
      <c r="I36" s="19" t="str">
        <f>'Sprint 1 Backlog'!D24</f>
        <v>Fortino Romero Mantilla</v>
      </c>
      <c r="J36" s="20"/>
      <c r="K36" s="20"/>
      <c r="L36" s="20"/>
      <c r="M36" s="20"/>
    </row>
    <row r="37" ht="30.0" customHeight="1">
      <c r="A37" s="5" t="s">
        <v>342</v>
      </c>
      <c r="B37" s="6">
        <f>'Sprint 1 Backlog'!G23</f>
        <v>3</v>
      </c>
      <c r="C37" s="5" t="s">
        <v>343</v>
      </c>
      <c r="D37" s="6">
        <f>'Sprint 1 Backlog'!G23-F37</f>
        <v>0</v>
      </c>
      <c r="E37" s="5" t="s">
        <v>344</v>
      </c>
      <c r="F37" s="6">
        <f t="array" ref="F37">INDEX('Sprint 1 Backlog'!H23:AC23,COUNT('Sprint 1 Backlog'!H23:AC23))</f>
        <v>3</v>
      </c>
      <c r="H37" s="5" t="s">
        <v>342</v>
      </c>
      <c r="I37" s="6">
        <f>'Sprint 1 Backlog'!G24</f>
        <v>4</v>
      </c>
      <c r="J37" s="5" t="s">
        <v>343</v>
      </c>
      <c r="K37" s="6">
        <f>'Sprint 1 Backlog'!G24-M37</f>
        <v>0</v>
      </c>
      <c r="L37" s="5" t="s">
        <v>344</v>
      </c>
      <c r="M37" s="6">
        <f t="array" ref="M37">INDEX('Sprint 1 Backlog'!H24:AC24,COUNT('Sprint 1 Backlog'!H24:AC24))</f>
        <v>4</v>
      </c>
    </row>
    <row r="38" ht="15.75" customHeight="1"/>
    <row r="39" ht="15.75" customHeight="1"/>
    <row r="40" ht="30.0" customHeight="1">
      <c r="A40" s="5" t="s">
        <v>8</v>
      </c>
      <c r="B40" s="6" t="str">
        <f>'Sprint 1 Backlog'!C25</f>
        <v>F08</v>
      </c>
      <c r="C40" s="5" t="s">
        <v>11</v>
      </c>
      <c r="D40" s="19" t="str">
        <f t="array" ref="D40">IFERROR(INDEX('Feature Log'!$B$4:$B$60,MATCH('Sprint 1 Backlog'!C25,'Feature Log'!$A$4:$A$60,0)),"Pruebas Alfa del sprint")</f>
        <v>Niebla del Olvido y Ecos</v>
      </c>
      <c r="E40" s="20"/>
      <c r="F40" s="20"/>
      <c r="H40" s="5" t="s">
        <v>8</v>
      </c>
      <c r="I40" s="6" t="str">
        <f>'Sprint 1 Backlog'!C26</f>
        <v>F08</v>
      </c>
      <c r="J40" s="5" t="s">
        <v>11</v>
      </c>
      <c r="K40" s="19" t="str">
        <f t="array" ref="K40">IFERROR(INDEX('Feature Log'!$B$4:$B$60,MATCH('Sprint 1 Backlog'!C26,'Feature Log'!$A$4:$A$60,0)),"Pruebas Alfa del sprint")</f>
        <v>Niebla del Olvido y Ecos</v>
      </c>
      <c r="L40" s="20"/>
      <c r="M40" s="20"/>
    </row>
    <row r="41" ht="30.0" customHeight="1">
      <c r="A41" s="5" t="s">
        <v>341</v>
      </c>
      <c r="B41" s="19" t="str">
        <f>'Sprint 1 Backlog'!A25</f>
        <v>Crear efecto de niebla y zonas bloqueadas</v>
      </c>
      <c r="C41" s="20"/>
      <c r="D41" s="20"/>
      <c r="E41" s="20"/>
      <c r="F41" s="20"/>
      <c r="H41" s="5" t="s">
        <v>341</v>
      </c>
      <c r="I41" s="19" t="str">
        <f>'Sprint 1 Backlog'!A26</f>
        <v>Programar disipación de niebla y Ecos</v>
      </c>
      <c r="J41" s="20"/>
      <c r="K41" s="20"/>
      <c r="L41" s="20"/>
      <c r="M41" s="20"/>
    </row>
    <row r="42" ht="30.0" customHeight="1">
      <c r="A42" s="5" t="s">
        <v>260</v>
      </c>
      <c r="B42" s="19" t="str">
        <f>'Sprint 1 Backlog'!D25</f>
        <v>Fortino Romero Mantilla</v>
      </c>
      <c r="C42" s="20"/>
      <c r="D42" s="20"/>
      <c r="E42" s="20"/>
      <c r="F42" s="20"/>
      <c r="H42" s="5" t="s">
        <v>260</v>
      </c>
      <c r="I42" s="19" t="str">
        <f>'Sprint 1 Backlog'!D26</f>
        <v>Fortino Romero Mantilla</v>
      </c>
      <c r="J42" s="20"/>
      <c r="K42" s="20"/>
      <c r="L42" s="20"/>
      <c r="M42" s="20"/>
    </row>
    <row r="43" ht="30.0" customHeight="1">
      <c r="A43" s="5" t="s">
        <v>342</v>
      </c>
      <c r="B43" s="6">
        <f>'Sprint 1 Backlog'!G25</f>
        <v>5</v>
      </c>
      <c r="C43" s="5" t="s">
        <v>343</v>
      </c>
      <c r="D43" s="6">
        <f>'Sprint 1 Backlog'!G25-F43</f>
        <v>0</v>
      </c>
      <c r="E43" s="5" t="s">
        <v>344</v>
      </c>
      <c r="F43" s="6">
        <f t="array" ref="F43">INDEX('Sprint 1 Backlog'!H25:AC25,COUNT('Sprint 1 Backlog'!H25:AC25))</f>
        <v>5</v>
      </c>
      <c r="H43" s="5" t="s">
        <v>342</v>
      </c>
      <c r="I43" s="6">
        <f>'Sprint 1 Backlog'!G26</f>
        <v>3</v>
      </c>
      <c r="J43" s="5" t="s">
        <v>343</v>
      </c>
      <c r="K43" s="6">
        <f>'Sprint 1 Backlog'!G26-M43</f>
        <v>0</v>
      </c>
      <c r="L43" s="5" t="s">
        <v>344</v>
      </c>
      <c r="M43" s="6">
        <f t="array" ref="M43">INDEX('Sprint 1 Backlog'!H26:AC26,COUNT('Sprint 1 Backlog'!H26:AC26))</f>
        <v>3</v>
      </c>
    </row>
    <row r="44" ht="15.75" customHeight="1"/>
    <row r="45" ht="15.75" customHeight="1"/>
    <row r="46" ht="30.0" customHeight="1">
      <c r="A46" s="5" t="s">
        <v>8</v>
      </c>
      <c r="B46" s="6" t="str">
        <f>'Sprint 1 Backlog'!C27</f>
        <v>F09</v>
      </c>
      <c r="C46" s="5" t="s">
        <v>11</v>
      </c>
      <c r="D46" s="19" t="str">
        <f t="array" ref="D46">IFERROR(INDEX('Feature Log'!$B$4:$B$60,MATCH('Sprint 1 Backlog'!C27,'Feature Log'!$A$4:$A$60,0)),"Pruebas Alfa del sprint")</f>
        <v>Pantalla de título y menú principal</v>
      </c>
      <c r="E46" s="20"/>
      <c r="F46" s="20"/>
      <c r="H46" s="5" t="s">
        <v>8</v>
      </c>
      <c r="I46" s="6" t="str">
        <f>'Sprint 1 Backlog'!C28</f>
        <v>F10</v>
      </c>
      <c r="J46" s="5" t="s">
        <v>11</v>
      </c>
      <c r="K46" s="19" t="str">
        <f t="array" ref="K46">IFERROR(INDEX('Feature Log'!$B$4:$B$60,MATCH('Sprint 1 Backlog'!C28,'Feature Log'!$A$4:$A$60,0)),"Pruebas Alfa del sprint")</f>
        <v>Guardado y carga automáticos</v>
      </c>
      <c r="L46" s="20"/>
      <c r="M46" s="20"/>
    </row>
    <row r="47" ht="30.0" customHeight="1">
      <c r="A47" s="5" t="s">
        <v>341</v>
      </c>
      <c r="B47" s="19" t="str">
        <f>'Sprint 1 Backlog'!A27</f>
        <v>Crear pantalla de título y menú principal</v>
      </c>
      <c r="C47" s="20"/>
      <c r="D47" s="20"/>
      <c r="E47" s="20"/>
      <c r="F47" s="20"/>
      <c r="H47" s="5" t="s">
        <v>341</v>
      </c>
      <c r="I47" s="19" t="str">
        <f>'Sprint 1 Backlog'!A28</f>
        <v>Programar guardado y carga en JSON</v>
      </c>
      <c r="J47" s="20"/>
      <c r="K47" s="20"/>
      <c r="L47" s="20"/>
      <c r="M47" s="20"/>
    </row>
    <row r="48" ht="30.0" customHeight="1">
      <c r="A48" s="5" t="s">
        <v>260</v>
      </c>
      <c r="B48" s="19" t="str">
        <f>'Sprint 1 Backlog'!D27</f>
        <v>Fortino Romero Mantilla</v>
      </c>
      <c r="C48" s="20"/>
      <c r="D48" s="20"/>
      <c r="E48" s="20"/>
      <c r="F48" s="20"/>
      <c r="H48" s="5" t="s">
        <v>260</v>
      </c>
      <c r="I48" s="19" t="str">
        <f>'Sprint 1 Backlog'!D28</f>
        <v>Fortino Romero Mantilla</v>
      </c>
      <c r="J48" s="20"/>
      <c r="K48" s="20"/>
      <c r="L48" s="20"/>
      <c r="M48" s="20"/>
    </row>
    <row r="49" ht="30.0" customHeight="1">
      <c r="A49" s="5" t="s">
        <v>342</v>
      </c>
      <c r="B49" s="6">
        <f>'Sprint 1 Backlog'!G27</f>
        <v>3</v>
      </c>
      <c r="C49" s="5" t="s">
        <v>343</v>
      </c>
      <c r="D49" s="6">
        <f>'Sprint 1 Backlog'!G27-F49</f>
        <v>0</v>
      </c>
      <c r="E49" s="5" t="s">
        <v>344</v>
      </c>
      <c r="F49" s="6">
        <f t="array" ref="F49">INDEX('Sprint 1 Backlog'!H27:AC27,COUNT('Sprint 1 Backlog'!H27:AC27))</f>
        <v>3</v>
      </c>
      <c r="H49" s="5" t="s">
        <v>342</v>
      </c>
      <c r="I49" s="6">
        <f>'Sprint 1 Backlog'!G28</f>
        <v>4</v>
      </c>
      <c r="J49" s="5" t="s">
        <v>343</v>
      </c>
      <c r="K49" s="6">
        <f>'Sprint 1 Backlog'!G28-M49</f>
        <v>0</v>
      </c>
      <c r="L49" s="5" t="s">
        <v>344</v>
      </c>
      <c r="M49" s="6">
        <f t="array" ref="M49">INDEX('Sprint 1 Backlog'!H28:AC28,COUNT('Sprint 1 Backlog'!H28:AC28))</f>
        <v>4</v>
      </c>
    </row>
    <row r="50" ht="15.75" customHeight="1"/>
    <row r="51" ht="15.75" customHeight="1"/>
    <row r="52" ht="30.0" customHeight="1">
      <c r="A52" s="5" t="s">
        <v>8</v>
      </c>
      <c r="B52" s="6" t="str">
        <f>'Sprint 1 Backlog'!C29</f>
        <v>—</v>
      </c>
      <c r="C52" s="5" t="s">
        <v>11</v>
      </c>
      <c r="D52" s="19" t="str">
        <f t="array" ref="D52">IFERROR(INDEX('Feature Log'!$B$4:$B$60,MATCH('Sprint 1 Backlog'!C29,'Feature Log'!$A$4:$A$60,0)),"Pruebas Alfa del sprint")</f>
        <v>Pruebas Alfa del sprint</v>
      </c>
      <c r="E52" s="20"/>
      <c r="F52" s="20"/>
    </row>
    <row r="53" ht="30.0" customHeight="1">
      <c r="A53" s="5" t="s">
        <v>341</v>
      </c>
      <c r="B53" s="19" t="str">
        <f>'Sprint 1 Backlog'!A29</f>
        <v>Pruebas Alfa del Sprint 1 y registro en Buglist</v>
      </c>
      <c r="C53" s="20"/>
      <c r="D53" s="20"/>
      <c r="E53" s="20"/>
      <c r="F53" s="20"/>
    </row>
    <row r="54" ht="30.0" customHeight="1">
      <c r="A54" s="5" t="s">
        <v>260</v>
      </c>
      <c r="B54" s="19" t="str">
        <f>'Sprint 1 Backlog'!D29</f>
        <v>Fortino Romero Mantilla</v>
      </c>
      <c r="C54" s="20"/>
      <c r="D54" s="20"/>
      <c r="E54" s="20"/>
      <c r="F54" s="20"/>
    </row>
    <row r="55" ht="30.0" customHeight="1">
      <c r="A55" s="5" t="s">
        <v>342</v>
      </c>
      <c r="B55" s="6">
        <f>'Sprint 1 Backlog'!G29</f>
        <v>3</v>
      </c>
      <c r="C55" s="5" t="s">
        <v>343</v>
      </c>
      <c r="D55" s="6">
        <f>'Sprint 1 Backlog'!G29-F55</f>
        <v>0</v>
      </c>
      <c r="E55" s="5" t="s">
        <v>344</v>
      </c>
      <c r="F55" s="6">
        <f t="array" ref="F55">INDEX('Sprint 1 Backlog'!H29:AC29,COUNT('Sprint 1 Backlog'!H29:AC29))</f>
        <v>3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D4:F4"/>
    <mergeCell ref="K4:M4"/>
    <mergeCell ref="B5:F5"/>
    <mergeCell ref="I5:M5"/>
    <mergeCell ref="B6:F6"/>
    <mergeCell ref="I6:M6"/>
    <mergeCell ref="K10:M10"/>
    <mergeCell ref="D10:F10"/>
    <mergeCell ref="B11:F11"/>
    <mergeCell ref="B12:F12"/>
    <mergeCell ref="D16:F16"/>
    <mergeCell ref="B17:F17"/>
    <mergeCell ref="B18:F18"/>
    <mergeCell ref="D22:F22"/>
    <mergeCell ref="I11:M11"/>
    <mergeCell ref="I12:M12"/>
    <mergeCell ref="K16:M16"/>
    <mergeCell ref="I17:M17"/>
    <mergeCell ref="I18:M18"/>
    <mergeCell ref="I23:M23"/>
    <mergeCell ref="I24:M24"/>
    <mergeCell ref="B23:F23"/>
    <mergeCell ref="B24:F24"/>
    <mergeCell ref="D28:F28"/>
    <mergeCell ref="B29:F29"/>
    <mergeCell ref="B30:F30"/>
    <mergeCell ref="B35:F35"/>
    <mergeCell ref="B36:F36"/>
    <mergeCell ref="K40:M40"/>
    <mergeCell ref="I41:M41"/>
    <mergeCell ref="I42:M42"/>
    <mergeCell ref="K46:M46"/>
    <mergeCell ref="I47:M47"/>
    <mergeCell ref="I48:M48"/>
    <mergeCell ref="K22:M22"/>
    <mergeCell ref="K28:M28"/>
    <mergeCell ref="I29:M29"/>
    <mergeCell ref="I30:M30"/>
    <mergeCell ref="K34:M34"/>
    <mergeCell ref="I35:M35"/>
    <mergeCell ref="I36:M36"/>
    <mergeCell ref="D52:F52"/>
    <mergeCell ref="B53:F53"/>
    <mergeCell ref="B54:F54"/>
    <mergeCell ref="D34:F34"/>
    <mergeCell ref="D40:F40"/>
    <mergeCell ref="B41:F41"/>
    <mergeCell ref="B42:F42"/>
    <mergeCell ref="D46:F46"/>
    <mergeCell ref="B47:F47"/>
    <mergeCell ref="B48:F48"/>
  </mergeCells>
  <printOptions/>
  <pageMargins bottom="1.0" footer="0.0" header="0.0" left="0.75" right="0.75" top="1.0"/>
  <pageSetup paperSize="9" orientation="portrait"/>
  <drawing r:id="rId1"/>
</worksheet>
</file>